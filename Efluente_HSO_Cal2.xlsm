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Dev\EFLUENTES_HSO\documentos\"/>
    </mc:Choice>
  </mc:AlternateContent>
  <xr:revisionPtr revIDLastSave="0" documentId="13_ncr:1_{45CE2C14-B766-4793-B8DB-28FD96B5E5E2}" xr6:coauthVersionLast="36" xr6:coauthVersionMax="36" xr10:uidLastSave="{00000000-0000-0000-0000-000000000000}"/>
  <bookViews>
    <workbookView xWindow="0" yWindow="0" windowWidth="21600" windowHeight="9405" firstSheet="1" activeTab="2" xr2:uid="{8E1A8130-D55B-436B-9661-393B0FFECFD5}"/>
  </bookViews>
  <sheets>
    <sheet name="DASHBOARD_GERAL" sheetId="17" r:id="rId1"/>
    <sheet name="BASE_CONSOLIDADA" sheetId="16" r:id="rId2"/>
    <sheet name="4600-LE-6902" sheetId="2" r:id="rId3"/>
    <sheet name="4600-LE-7201" sheetId="3" r:id="rId4"/>
    <sheet name="4600-LE-7301" sheetId="4" r:id="rId5"/>
    <sheet name="4600-LE-7302" sheetId="5" r:id="rId6"/>
    <sheet name="4600-LE-7303" sheetId="6" r:id="rId7"/>
  </sheets>
  <definedNames>
    <definedName name="SegmentaçãodeDados_Calibração__SIM_ou_NÃO">#N/A</definedName>
    <definedName name="SegmentaçãodeDados_Local">#N/A</definedName>
    <definedName name="SegmentaçãodeDados_Sistema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  <x14:slicerCache r:id="rId10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" i="16" l="1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F5" i="16"/>
  <c r="AF6" i="16"/>
  <c r="AF7" i="16"/>
  <c r="AF8" i="16"/>
  <c r="AF9" i="16"/>
  <c r="AF17" i="16"/>
  <c r="AF18" i="16"/>
  <c r="AF19" i="16"/>
  <c r="AF20" i="16"/>
  <c r="AF21" i="16"/>
  <c r="AF29" i="16"/>
  <c r="AF30" i="16"/>
  <c r="AF31" i="16"/>
  <c r="AF32" i="16"/>
  <c r="AF33" i="16"/>
  <c r="AF42" i="16"/>
  <c r="AF43" i="16"/>
  <c r="AF44" i="16"/>
  <c r="AF45" i="16"/>
  <c r="AF54" i="16"/>
  <c r="AF55" i="16"/>
  <c r="AF56" i="16"/>
  <c r="AF57" i="16"/>
  <c r="AF66" i="16"/>
  <c r="AF67" i="16"/>
  <c r="AF68" i="16"/>
  <c r="AF69" i="16"/>
  <c r="AF78" i="16"/>
  <c r="AF79" i="16"/>
  <c r="AF80" i="16"/>
  <c r="AF81" i="16"/>
  <c r="AF90" i="16"/>
  <c r="AF91" i="16"/>
  <c r="AF92" i="16"/>
  <c r="AF93" i="16"/>
  <c r="AF102" i="16"/>
  <c r="AF103" i="16"/>
  <c r="AF104" i="16"/>
  <c r="AF105" i="16"/>
  <c r="AF114" i="16"/>
  <c r="AF115" i="16"/>
  <c r="AF116" i="16"/>
  <c r="AF117" i="16"/>
  <c r="AF126" i="16"/>
  <c r="AF127" i="16"/>
  <c r="AF128" i="16"/>
  <c r="AF129" i="16"/>
  <c r="AF138" i="16"/>
  <c r="AF139" i="16"/>
  <c r="AF140" i="16"/>
  <c r="AF141" i="16"/>
  <c r="AF150" i="16"/>
  <c r="AF151" i="16"/>
  <c r="AF152" i="16"/>
  <c r="AF153" i="16"/>
  <c r="AF162" i="16"/>
  <c r="AF163" i="16"/>
  <c r="AF164" i="16"/>
  <c r="AF165" i="16"/>
  <c r="AF174" i="16"/>
  <c r="AF175" i="16"/>
  <c r="AF176" i="16"/>
  <c r="AF177" i="16"/>
  <c r="AF186" i="16"/>
  <c r="AF187" i="16"/>
  <c r="AF188" i="16"/>
  <c r="AF189" i="16"/>
  <c r="AF198" i="16"/>
  <c r="AF199" i="16"/>
  <c r="AF200" i="16"/>
  <c r="AF201" i="16"/>
  <c r="AE2" i="16"/>
  <c r="AF2" i="16" s="1"/>
  <c r="AE3" i="16"/>
  <c r="AF3" i="16" s="1"/>
  <c r="AE4" i="16"/>
  <c r="AF4" i="16" s="1"/>
  <c r="AE5" i="16"/>
  <c r="AE6" i="16"/>
  <c r="AE7" i="16"/>
  <c r="AE8" i="16"/>
  <c r="AE9" i="16"/>
  <c r="AE10" i="16"/>
  <c r="AF10" i="16" s="1"/>
  <c r="AE11" i="16"/>
  <c r="AF11" i="16" s="1"/>
  <c r="AE12" i="16"/>
  <c r="AF12" i="16" s="1"/>
  <c r="AE13" i="16"/>
  <c r="AF13" i="16" s="1"/>
  <c r="AE14" i="16"/>
  <c r="AF14" i="16" s="1"/>
  <c r="AE15" i="16"/>
  <c r="AF15" i="16" s="1"/>
  <c r="AE16" i="16"/>
  <c r="AF16" i="16" s="1"/>
  <c r="AE17" i="16"/>
  <c r="AE18" i="16"/>
  <c r="AE19" i="16"/>
  <c r="AE20" i="16"/>
  <c r="AE21" i="16"/>
  <c r="AE22" i="16"/>
  <c r="AF22" i="16" s="1"/>
  <c r="AE23" i="16"/>
  <c r="AF23" i="16" s="1"/>
  <c r="AE24" i="16"/>
  <c r="AF24" i="16" s="1"/>
  <c r="AE25" i="16"/>
  <c r="AF25" i="16" s="1"/>
  <c r="AE26" i="16"/>
  <c r="AF26" i="16" s="1"/>
  <c r="AE27" i="16"/>
  <c r="AF27" i="16" s="1"/>
  <c r="AE28" i="16"/>
  <c r="AF28" i="16" s="1"/>
  <c r="AE29" i="16"/>
  <c r="AE30" i="16"/>
  <c r="AE31" i="16"/>
  <c r="AE32" i="16"/>
  <c r="AE33" i="16"/>
  <c r="AE34" i="16"/>
  <c r="AF34" i="16" s="1"/>
  <c r="AE35" i="16"/>
  <c r="AF35" i="16" s="1"/>
  <c r="AE36" i="16"/>
  <c r="AF36" i="16" s="1"/>
  <c r="AE37" i="16"/>
  <c r="AF37" i="16" s="1"/>
  <c r="AE38" i="16"/>
  <c r="AF38" i="16" s="1"/>
  <c r="AE39" i="16"/>
  <c r="AF39" i="16" s="1"/>
  <c r="AE40" i="16"/>
  <c r="AF40" i="16" s="1"/>
  <c r="AE41" i="16"/>
  <c r="AF41" i="16" s="1"/>
  <c r="AE42" i="16"/>
  <c r="AE43" i="16"/>
  <c r="AE44" i="16"/>
  <c r="AE45" i="16"/>
  <c r="AE46" i="16"/>
  <c r="AF46" i="16" s="1"/>
  <c r="AE47" i="16"/>
  <c r="AF47" i="16" s="1"/>
  <c r="AE48" i="16"/>
  <c r="AF48" i="16" s="1"/>
  <c r="AE49" i="16"/>
  <c r="AF49" i="16" s="1"/>
  <c r="AE50" i="16"/>
  <c r="AF50" i="16" s="1"/>
  <c r="AE51" i="16"/>
  <c r="AF51" i="16" s="1"/>
  <c r="AE52" i="16"/>
  <c r="AF52" i="16" s="1"/>
  <c r="AE53" i="16"/>
  <c r="AF53" i="16" s="1"/>
  <c r="AE54" i="16"/>
  <c r="AE55" i="16"/>
  <c r="AE56" i="16"/>
  <c r="AE57" i="16"/>
  <c r="AE58" i="16"/>
  <c r="AF58" i="16" s="1"/>
  <c r="AE59" i="16"/>
  <c r="AF59" i="16" s="1"/>
  <c r="AE60" i="16"/>
  <c r="AF60" i="16" s="1"/>
  <c r="AE61" i="16"/>
  <c r="AF61" i="16" s="1"/>
  <c r="AE62" i="16"/>
  <c r="AF62" i="16" s="1"/>
  <c r="AE63" i="16"/>
  <c r="AF63" i="16" s="1"/>
  <c r="AE64" i="16"/>
  <c r="AF64" i="16" s="1"/>
  <c r="AE65" i="16"/>
  <c r="AF65" i="16" s="1"/>
  <c r="AE66" i="16"/>
  <c r="AE67" i="16"/>
  <c r="AE68" i="16"/>
  <c r="AE69" i="16"/>
  <c r="AE70" i="16"/>
  <c r="AF70" i="16" s="1"/>
  <c r="AE71" i="16"/>
  <c r="AF71" i="16" s="1"/>
  <c r="AE72" i="16"/>
  <c r="AF72" i="16" s="1"/>
  <c r="AE73" i="16"/>
  <c r="AF73" i="16" s="1"/>
  <c r="AE74" i="16"/>
  <c r="AF74" i="16" s="1"/>
  <c r="AE75" i="16"/>
  <c r="AF75" i="16" s="1"/>
  <c r="AE76" i="16"/>
  <c r="AF76" i="16" s="1"/>
  <c r="AE77" i="16"/>
  <c r="AF77" i="16" s="1"/>
  <c r="AE78" i="16"/>
  <c r="AE79" i="16"/>
  <c r="AE80" i="16"/>
  <c r="AE81" i="16"/>
  <c r="AE82" i="16"/>
  <c r="AF82" i="16" s="1"/>
  <c r="AE83" i="16"/>
  <c r="AF83" i="16" s="1"/>
  <c r="AE84" i="16"/>
  <c r="AF84" i="16" s="1"/>
  <c r="AE85" i="16"/>
  <c r="AF85" i="16" s="1"/>
  <c r="AE86" i="16"/>
  <c r="AF86" i="16" s="1"/>
  <c r="AE87" i="16"/>
  <c r="AF87" i="16" s="1"/>
  <c r="AE88" i="16"/>
  <c r="AF88" i="16" s="1"/>
  <c r="AE89" i="16"/>
  <c r="AF89" i="16" s="1"/>
  <c r="AE90" i="16"/>
  <c r="AE91" i="16"/>
  <c r="AE92" i="16"/>
  <c r="AE93" i="16"/>
  <c r="AE94" i="16"/>
  <c r="AF94" i="16" s="1"/>
  <c r="AE95" i="16"/>
  <c r="AF95" i="16" s="1"/>
  <c r="AE96" i="16"/>
  <c r="AF96" i="16" s="1"/>
  <c r="AE97" i="16"/>
  <c r="AF97" i="16" s="1"/>
  <c r="AE98" i="16"/>
  <c r="AF98" i="16" s="1"/>
  <c r="AE99" i="16"/>
  <c r="AF99" i="16" s="1"/>
  <c r="AE100" i="16"/>
  <c r="AF100" i="16" s="1"/>
  <c r="AE101" i="16"/>
  <c r="AF101" i="16" s="1"/>
  <c r="AE102" i="16"/>
  <c r="AE103" i="16"/>
  <c r="AE104" i="16"/>
  <c r="AE105" i="16"/>
  <c r="AE106" i="16"/>
  <c r="AF106" i="16" s="1"/>
  <c r="AE107" i="16"/>
  <c r="AF107" i="16" s="1"/>
  <c r="AE108" i="16"/>
  <c r="AF108" i="16" s="1"/>
  <c r="AE109" i="16"/>
  <c r="AF109" i="16" s="1"/>
  <c r="AE110" i="16"/>
  <c r="AF110" i="16" s="1"/>
  <c r="AE111" i="16"/>
  <c r="AF111" i="16" s="1"/>
  <c r="AE112" i="16"/>
  <c r="AF112" i="16" s="1"/>
  <c r="AE113" i="16"/>
  <c r="AF113" i="16" s="1"/>
  <c r="AE114" i="16"/>
  <c r="AE115" i="16"/>
  <c r="AE116" i="16"/>
  <c r="AE117" i="16"/>
  <c r="AE118" i="16"/>
  <c r="AF118" i="16" s="1"/>
  <c r="AE119" i="16"/>
  <c r="AF119" i="16" s="1"/>
  <c r="AE120" i="16"/>
  <c r="AF120" i="16" s="1"/>
  <c r="AE121" i="16"/>
  <c r="AF121" i="16" s="1"/>
  <c r="AE122" i="16"/>
  <c r="AF122" i="16" s="1"/>
  <c r="AE123" i="16"/>
  <c r="AF123" i="16" s="1"/>
  <c r="AE124" i="16"/>
  <c r="AF124" i="16" s="1"/>
  <c r="AE125" i="16"/>
  <c r="AF125" i="16" s="1"/>
  <c r="AE126" i="16"/>
  <c r="AE127" i="16"/>
  <c r="AE128" i="16"/>
  <c r="AE129" i="16"/>
  <c r="AE130" i="16"/>
  <c r="AF130" i="16" s="1"/>
  <c r="AE131" i="16"/>
  <c r="AF131" i="16" s="1"/>
  <c r="AE132" i="16"/>
  <c r="AF132" i="16" s="1"/>
  <c r="AE133" i="16"/>
  <c r="AF133" i="16" s="1"/>
  <c r="AE134" i="16"/>
  <c r="AF134" i="16" s="1"/>
  <c r="AE135" i="16"/>
  <c r="AF135" i="16" s="1"/>
  <c r="AE136" i="16"/>
  <c r="AF136" i="16" s="1"/>
  <c r="AE137" i="16"/>
  <c r="AF137" i="16" s="1"/>
  <c r="AE138" i="16"/>
  <c r="AE139" i="16"/>
  <c r="AE140" i="16"/>
  <c r="AE141" i="16"/>
  <c r="AE142" i="16"/>
  <c r="AF142" i="16" s="1"/>
  <c r="AE143" i="16"/>
  <c r="AF143" i="16" s="1"/>
  <c r="AE144" i="16"/>
  <c r="AF144" i="16" s="1"/>
  <c r="AE145" i="16"/>
  <c r="AF145" i="16" s="1"/>
  <c r="AE146" i="16"/>
  <c r="AF146" i="16" s="1"/>
  <c r="AE147" i="16"/>
  <c r="AF147" i="16" s="1"/>
  <c r="AE148" i="16"/>
  <c r="AF148" i="16" s="1"/>
  <c r="AE149" i="16"/>
  <c r="AF149" i="16" s="1"/>
  <c r="AE150" i="16"/>
  <c r="AE151" i="16"/>
  <c r="AE152" i="16"/>
  <c r="AE153" i="16"/>
  <c r="AE154" i="16"/>
  <c r="AF154" i="16" s="1"/>
  <c r="AE155" i="16"/>
  <c r="AF155" i="16" s="1"/>
  <c r="AE156" i="16"/>
  <c r="AF156" i="16" s="1"/>
  <c r="AE157" i="16"/>
  <c r="AF157" i="16" s="1"/>
  <c r="AE158" i="16"/>
  <c r="AF158" i="16" s="1"/>
  <c r="AE159" i="16"/>
  <c r="AF159" i="16" s="1"/>
  <c r="AE160" i="16"/>
  <c r="AF160" i="16" s="1"/>
  <c r="AE161" i="16"/>
  <c r="AF161" i="16" s="1"/>
  <c r="AE162" i="16"/>
  <c r="AE163" i="16"/>
  <c r="AE164" i="16"/>
  <c r="AE165" i="16"/>
  <c r="AE166" i="16"/>
  <c r="AF166" i="16" s="1"/>
  <c r="AE167" i="16"/>
  <c r="AF167" i="16" s="1"/>
  <c r="AE168" i="16"/>
  <c r="AF168" i="16" s="1"/>
  <c r="AE169" i="16"/>
  <c r="AF169" i="16" s="1"/>
  <c r="AE170" i="16"/>
  <c r="AF170" i="16" s="1"/>
  <c r="AE171" i="16"/>
  <c r="AF171" i="16" s="1"/>
  <c r="AE172" i="16"/>
  <c r="AF172" i="16" s="1"/>
  <c r="AE173" i="16"/>
  <c r="AF173" i="16" s="1"/>
  <c r="AE174" i="16"/>
  <c r="AE175" i="16"/>
  <c r="AE176" i="16"/>
  <c r="AE177" i="16"/>
  <c r="AE178" i="16"/>
  <c r="AF178" i="16" s="1"/>
  <c r="AE179" i="16"/>
  <c r="AF179" i="16" s="1"/>
  <c r="AE180" i="16"/>
  <c r="AF180" i="16" s="1"/>
  <c r="AE181" i="16"/>
  <c r="AF181" i="16" s="1"/>
  <c r="AE182" i="16"/>
  <c r="AF182" i="16" s="1"/>
  <c r="AE183" i="16"/>
  <c r="AF183" i="16" s="1"/>
  <c r="AE184" i="16"/>
  <c r="AF184" i="16" s="1"/>
  <c r="AE185" i="16"/>
  <c r="AF185" i="16" s="1"/>
  <c r="AE186" i="16"/>
  <c r="AE187" i="16"/>
  <c r="AE188" i="16"/>
  <c r="AE189" i="16"/>
  <c r="AE190" i="16"/>
  <c r="AF190" i="16" s="1"/>
  <c r="AE191" i="16"/>
  <c r="AF191" i="16" s="1"/>
  <c r="AE192" i="16"/>
  <c r="AF192" i="16" s="1"/>
  <c r="AE193" i="16"/>
  <c r="AF193" i="16" s="1"/>
  <c r="AE194" i="16"/>
  <c r="AF194" i="16" s="1"/>
  <c r="AE195" i="16"/>
  <c r="AF195" i="16" s="1"/>
  <c r="AE196" i="16"/>
  <c r="AF196" i="16" s="1"/>
  <c r="AE197" i="16"/>
  <c r="AF197" i="16" s="1"/>
  <c r="AE198" i="16"/>
  <c r="AE199" i="16"/>
  <c r="AE200" i="16"/>
  <c r="AE201" i="16"/>
  <c r="AE202" i="16"/>
  <c r="AF202" i="16" s="1"/>
  <c r="AE203" i="16"/>
  <c r="AF203" i="16" s="1"/>
  <c r="AE204" i="16"/>
  <c r="AF204" i="16" s="1"/>
  <c r="AE205" i="16"/>
  <c r="AF205" i="16" s="1"/>
  <c r="AE206" i="16"/>
  <c r="AF206" i="16" s="1"/>
  <c r="AE207" i="16"/>
  <c r="AF207" i="16" s="1"/>
  <c r="AE208" i="16"/>
  <c r="AF208" i="16" s="1"/>
  <c r="AE209" i="16"/>
  <c r="AF209" i="16" s="1"/>
  <c r="B5" i="17" l="1"/>
  <c r="H5" i="17" l="1"/>
  <c r="E5" i="17"/>
</calcChain>
</file>

<file path=xl/sharedStrings.xml><?xml version="1.0" encoding="utf-8"?>
<sst xmlns="http://schemas.openxmlformats.org/spreadsheetml/2006/main" count="4942" uniqueCount="461">
  <si>
    <t>SERIC TECHNOLOGIE</t>
  </si>
  <si>
    <t>HV</t>
  </si>
  <si>
    <t>Válvula de esfera manual ANSI-NPT 1/2</t>
  </si>
  <si>
    <t>Válvula de esfera manual ANSI-DN50</t>
  </si>
  <si>
    <t>Válvula de esfera manual ANSI-21,3</t>
  </si>
  <si>
    <t>Endress Hauser</t>
  </si>
  <si>
    <t>H7034201026</t>
  </si>
  <si>
    <t>Lâminas vibratórias ANSI-NPT</t>
  </si>
  <si>
    <t>IFM</t>
  </si>
  <si>
    <t>LSHH</t>
  </si>
  <si>
    <t>69 HSO</t>
  </si>
  <si>
    <t>LSLL</t>
  </si>
  <si>
    <t>IWAKI</t>
  </si>
  <si>
    <t>NRV</t>
  </si>
  <si>
    <t>Válvula de retenção-ANSI-DN15</t>
  </si>
  <si>
    <t>P</t>
  </si>
  <si>
    <t>Bomba doseadora-ANSI-DN20</t>
  </si>
  <si>
    <t>PSV</t>
  </si>
  <si>
    <t>Manómetro utilitário ANSI-NPT 1/2</t>
  </si>
  <si>
    <t>Válvula de segurança ANSI-DN15</t>
  </si>
  <si>
    <t>Chuveiro e lava-olhos emergência</t>
  </si>
  <si>
    <t>Válvula de esfera automática ANSI-33,4</t>
  </si>
  <si>
    <t>Válvula de esfera automática ANSI-21,3</t>
  </si>
  <si>
    <t>Sistema</t>
  </si>
  <si>
    <t>TAG Hemobrás</t>
  </si>
  <si>
    <t>Local</t>
  </si>
  <si>
    <t>Sala/Sistema</t>
  </si>
  <si>
    <t>Descrição dos Equipamentos</t>
  </si>
  <si>
    <t>Status de uso</t>
  </si>
  <si>
    <t>Associado à produção dos produtos (ex. albumina, Fator VIII, etc)</t>
  </si>
  <si>
    <t>Marca</t>
  </si>
  <si>
    <t>Modelo</t>
  </si>
  <si>
    <t>Nº série</t>
  </si>
  <si>
    <t>Ano de instalação</t>
  </si>
  <si>
    <t>Capacidade</t>
  </si>
  <si>
    <t>Resolução</t>
  </si>
  <si>
    <t>Faixa de Medição</t>
  </si>
  <si>
    <t>Faixa de Operação</t>
  </si>
  <si>
    <t>Responsabilidade (ex. Hemobrás, JCI, etc)</t>
  </si>
  <si>
    <t>Periodicidade</t>
  </si>
  <si>
    <t>Observação</t>
  </si>
  <si>
    <t>Criticidade (Crítico ou Não Crítico)</t>
  </si>
  <si>
    <t>Subclassificação do status crítico</t>
  </si>
  <si>
    <t>Calibração (SIM ou NÃO)</t>
  </si>
  <si>
    <t>Intervalo de tolerância</t>
  </si>
  <si>
    <t>Critério de aceitação</t>
  </si>
  <si>
    <t>Pontos de Calibração</t>
  </si>
  <si>
    <t>Periodicidade de calibração</t>
  </si>
  <si>
    <t>Qualificação (SIM ou NÃO)</t>
  </si>
  <si>
    <t>Qualificação Inicial</t>
  </si>
  <si>
    <t>Status de qualificação</t>
  </si>
  <si>
    <t>Observação*</t>
  </si>
  <si>
    <t>WW</t>
  </si>
  <si>
    <t>Anual</t>
  </si>
  <si>
    <t>KI5083</t>
  </si>
  <si>
    <t>Sensor capacitivo M30</t>
  </si>
  <si>
    <t>FMR245-ABAEKAA2A</t>
  </si>
  <si>
    <t>Endress + Hauser</t>
  </si>
  <si>
    <t>H7004A0106A</t>
  </si>
  <si>
    <t>Medição de nível ANSI-60,3</t>
  </si>
  <si>
    <t>LT</t>
  </si>
  <si>
    <t>PED532T1</t>
  </si>
  <si>
    <t>CZ87750-1</t>
  </si>
  <si>
    <t>IX-C150S6R-TB-E</t>
  </si>
  <si>
    <t>MDM902</t>
  </si>
  <si>
    <t>PI4130998446</t>
  </si>
  <si>
    <t>PI</t>
  </si>
  <si>
    <t>ARI type 57963</t>
  </si>
  <si>
    <t>Douches Sécurigaz</t>
  </si>
  <si>
    <t>SH</t>
  </si>
  <si>
    <t>748IMF+ASR40+IN0108+E10137+ E17327</t>
  </si>
  <si>
    <t>415IIT+ASR40+IN0108+E10137+E17327</t>
  </si>
  <si>
    <t>XV</t>
  </si>
  <si>
    <t>LSAH</t>
  </si>
  <si>
    <t>61 DW</t>
  </si>
  <si>
    <t>FYI-020</t>
  </si>
  <si>
    <t>7201-01 F-0172</t>
  </si>
  <si>
    <t>7201-01 F-0272</t>
  </si>
  <si>
    <t>Filtro-ANSI-114.3</t>
  </si>
  <si>
    <t>F</t>
  </si>
  <si>
    <t>Controlador de fluxo</t>
  </si>
  <si>
    <t>SI6700</t>
  </si>
  <si>
    <t>WW1</t>
  </si>
  <si>
    <t>7201-01 FSL-0172</t>
  </si>
  <si>
    <t>FSL</t>
  </si>
  <si>
    <t>Promag 50P50-EL0A1AA0ABAJ</t>
  </si>
  <si>
    <t>ENDRESS + HAUSER</t>
  </si>
  <si>
    <t>Medidor de Vazão Eletromagnético</t>
  </si>
  <si>
    <t>H7062419000</t>
  </si>
  <si>
    <t>7201-01 FT-0172</t>
  </si>
  <si>
    <t>FT</t>
  </si>
  <si>
    <t>BRAY serie 40</t>
  </si>
  <si>
    <t>7201-01 HV-0172</t>
  </si>
  <si>
    <t>7201-01 HV-0272</t>
  </si>
  <si>
    <t>7201-01 HV-0372</t>
  </si>
  <si>
    <t>7201-01 HV-0472</t>
  </si>
  <si>
    <t>7201-01 HV-0572</t>
  </si>
  <si>
    <t>7201-01 HV-0672</t>
  </si>
  <si>
    <t>7201-01 HV-0772</t>
  </si>
  <si>
    <t>7201-01 HV-0872</t>
  </si>
  <si>
    <t>7201-01 HV-0972</t>
  </si>
  <si>
    <t>7201-01 HV-1072</t>
  </si>
  <si>
    <t>7201-01 HV-1172</t>
  </si>
  <si>
    <t>7201-01 HV-1472</t>
  </si>
  <si>
    <t>7201-01 HV-1572</t>
  </si>
  <si>
    <t>Válvula borboleta manual ANSI-114,3</t>
  </si>
  <si>
    <t>Válvula de esfera manual - ANSI NPT 3/4</t>
  </si>
  <si>
    <t>V105T</t>
  </si>
  <si>
    <t>Válvula de esfera com manômetro manual - ANSI NPT 1/2"</t>
  </si>
  <si>
    <t>Válvula borboleta manual ANSI-88.9</t>
  </si>
  <si>
    <t>Válvula de esfera manual - ANSI 48.3</t>
  </si>
  <si>
    <t>315IIT</t>
  </si>
  <si>
    <t>Válvula de esfera manual - ANSI NPT-1/2</t>
  </si>
  <si>
    <t>Transmissor de nível ANSI 48.3</t>
  </si>
  <si>
    <t>7201-01 LIT-0172</t>
  </si>
  <si>
    <t>WIKA</t>
  </si>
  <si>
    <t>BNA- 1,5''/150/RF-MG-M 1600 V60x2-MRA-2/M/1 ZVSS185/PN25/R48H</t>
  </si>
  <si>
    <t>LIT</t>
  </si>
  <si>
    <t>Válvula de retenção ANSI-88.9</t>
  </si>
  <si>
    <t>55.039-150LBS</t>
  </si>
  <si>
    <t>7201-01 NRV-0272</t>
  </si>
  <si>
    <t>7201-01 NRV-0172</t>
  </si>
  <si>
    <t>Bomba centrífuga - ANSI 73/48.3</t>
  </si>
  <si>
    <t>B98491968P213350 002</t>
  </si>
  <si>
    <t>B98491968P213350 003</t>
  </si>
  <si>
    <t>GRUNDFOS</t>
  </si>
  <si>
    <t>NKG65-40-250/246AEG2NV SBQQV_4kw_440V</t>
  </si>
  <si>
    <t>7201-01 P-0172</t>
  </si>
  <si>
    <t>7201-01 P-0272</t>
  </si>
  <si>
    <t>Manômetro para uso geral - ANSI - NPT - 1/2</t>
  </si>
  <si>
    <t>7201-01 PI-0172</t>
  </si>
  <si>
    <t>7201-01 PI-0272</t>
  </si>
  <si>
    <t>ARM</t>
  </si>
  <si>
    <t>WW2</t>
  </si>
  <si>
    <t>Filtro-ANSI-168.3</t>
  </si>
  <si>
    <t>Medidor de Vazão Eletromagnético ANSI-88.9</t>
  </si>
  <si>
    <t>Válvula borboleta manual ANSI-168.3</t>
  </si>
  <si>
    <t>7301-01 F-0173</t>
  </si>
  <si>
    <t>7301-01 F-0273</t>
  </si>
  <si>
    <t>7301-01 FSL-0173</t>
  </si>
  <si>
    <t>7301-01 FT-0173</t>
  </si>
  <si>
    <t>7301-01 HV-0172</t>
  </si>
  <si>
    <t>7301-01 HV-0273</t>
  </si>
  <si>
    <t>7301-01 HV-0373</t>
  </si>
  <si>
    <t>7301-01 HV-0473</t>
  </si>
  <si>
    <t>7301-01 HV-0573</t>
  </si>
  <si>
    <t>7301-01 HV-0673</t>
  </si>
  <si>
    <t>7301-01 HV-0773</t>
  </si>
  <si>
    <t>7301-01 HV-0873</t>
  </si>
  <si>
    <t>7301-01 HV-0973</t>
  </si>
  <si>
    <t>7301-01 HV-1073</t>
  </si>
  <si>
    <t>7301-01 HV-1173</t>
  </si>
  <si>
    <t>7301-01 HV-1273</t>
  </si>
  <si>
    <t>7301-01 HV-1373</t>
  </si>
  <si>
    <t>7301-01 HV-1473</t>
  </si>
  <si>
    <t>7301-01 HV-1573</t>
  </si>
  <si>
    <t>BNA- 1,5''/150/RF-MG-M 1500 V60x2-MRA-2/M/1 ZVSS185/PN25/R48H</t>
  </si>
  <si>
    <t>7301-01 LIT-0173</t>
  </si>
  <si>
    <t>Lâminas vibratórias - ANSI-NPT 1"</t>
  </si>
  <si>
    <t>LSHA</t>
  </si>
  <si>
    <t>FTL50-AGN2AA2D3A</t>
  </si>
  <si>
    <t>7301-01 LSHA-0173</t>
  </si>
  <si>
    <t>ATMSOBAHYP5M</t>
  </si>
  <si>
    <t>ELECTRO RHONE</t>
  </si>
  <si>
    <t>Detector de nível tipo pera - NA</t>
  </si>
  <si>
    <t>LSH</t>
  </si>
  <si>
    <t>LSL</t>
  </si>
  <si>
    <t>7301-01 LSH-0173</t>
  </si>
  <si>
    <t>7301-01 LSHH-0173</t>
  </si>
  <si>
    <t>7301-01 LSL-0173</t>
  </si>
  <si>
    <t>7301-01 NRV-0173</t>
  </si>
  <si>
    <t>7301-01 NRV-0273</t>
  </si>
  <si>
    <t>NKG80-50-250/244AEG2NV SBQQV_5,5kw_440V</t>
  </si>
  <si>
    <t>B98491987P213350 001</t>
  </si>
  <si>
    <t>B98491987P213350 002</t>
  </si>
  <si>
    <t>Unilift AP12.50.11.3_1,8kw_440V-</t>
  </si>
  <si>
    <t>Bomba centrífuga - ANSI 88.9/60.3</t>
  </si>
  <si>
    <t>Bombas de Elevação ANSI-60.3</t>
  </si>
  <si>
    <t>7301-01 P-0173</t>
  </si>
  <si>
    <t>7301-01 P-0273</t>
  </si>
  <si>
    <t>7301-01 P-0373</t>
  </si>
  <si>
    <t>7301-01 P-0473</t>
  </si>
  <si>
    <t>7301-01 PI-0173</t>
  </si>
  <si>
    <t>7301-01 PI-0273</t>
  </si>
  <si>
    <t xml:space="preserve">V105-744 </t>
  </si>
  <si>
    <t xml:space="preserve">415IIT </t>
  </si>
  <si>
    <t xml:space="preserve">V105-791 </t>
  </si>
  <si>
    <t>6902-01 LSAH 0169</t>
  </si>
  <si>
    <t>6902-01 LSHH 0169</t>
  </si>
  <si>
    <t>6902-01 LSLL 0169</t>
  </si>
  <si>
    <t>6902-01 LT 0169</t>
  </si>
  <si>
    <t>6902-01 NRV 0169</t>
  </si>
  <si>
    <t>6902-01 P 0169</t>
  </si>
  <si>
    <t>6902-01 PI 0169</t>
  </si>
  <si>
    <t>6902-01 PSV 0169</t>
  </si>
  <si>
    <t>6102-01 SH 0161</t>
  </si>
  <si>
    <t>6902-01 XV 0169</t>
  </si>
  <si>
    <t>6902-01 XV 0269</t>
  </si>
  <si>
    <t>6902-01 XV 0369</t>
  </si>
  <si>
    <t>6902-01 HV 0169</t>
  </si>
  <si>
    <t>6902-01 HV 0269</t>
  </si>
  <si>
    <t>6902-01 HV 0569</t>
  </si>
  <si>
    <t>6902-01 HV 0469</t>
  </si>
  <si>
    <t>H7062219000</t>
  </si>
  <si>
    <t>Filtro-ANSI-73</t>
  </si>
  <si>
    <t>Medidor de Vazão Eletromagnético ANSI-48.3</t>
  </si>
  <si>
    <t>Válvula borboleta manual ANSI-73</t>
  </si>
  <si>
    <t>Válvula de esfera manual - ANSI NPT 1/4</t>
  </si>
  <si>
    <t>Válvula de esfera manual - ANSI NPT 1/2</t>
  </si>
  <si>
    <t>Válvula de esfera manual - ANSI 60.3</t>
  </si>
  <si>
    <t>7302-01 F 0173</t>
  </si>
  <si>
    <t>7302-01 HV 0173</t>
  </si>
  <si>
    <t>7302-01 F 0273</t>
  </si>
  <si>
    <t>7302-01 FSL 0173</t>
  </si>
  <si>
    <t>7302-01 FT 0173</t>
  </si>
  <si>
    <t>7302-01 HV 0273</t>
  </si>
  <si>
    <t>7302-01 HV 0373</t>
  </si>
  <si>
    <t>7302-01 HV 0473</t>
  </si>
  <si>
    <t>7302-01 HV 0573</t>
  </si>
  <si>
    <t>7302-01 HV 0673</t>
  </si>
  <si>
    <t>7302-01 HV 0773</t>
  </si>
  <si>
    <t>7302-01 HV 0873</t>
  </si>
  <si>
    <t>7302-01 HV 0973</t>
  </si>
  <si>
    <t>7302-01 HV 1073</t>
  </si>
  <si>
    <t>7302-01 HV 1173</t>
  </si>
  <si>
    <t>7302-01 HV 1273</t>
  </si>
  <si>
    <t>7302-01 HV 1373</t>
  </si>
  <si>
    <t>7302-01 HV 1473</t>
  </si>
  <si>
    <t>7302-01 HV 1573</t>
  </si>
  <si>
    <t>BNA- 1,5''/150/RF-MG-M 1800 V60x2-MRA-2/M/1 ZVSS185/PN25/R48H</t>
  </si>
  <si>
    <t>7302-01 LIT 0173</t>
  </si>
  <si>
    <t>7302-01 LSAH 0173</t>
  </si>
  <si>
    <t>7302-01 LSH 0173</t>
  </si>
  <si>
    <t>7302-01 LSHH 0173</t>
  </si>
  <si>
    <t>7302-01 LSL 0173</t>
  </si>
  <si>
    <t>Válvula de retenção ANSI-48.3</t>
  </si>
  <si>
    <t>7302-01 NRV 0173</t>
  </si>
  <si>
    <t>7302-01 NRV 0273</t>
  </si>
  <si>
    <t>NKG50-32-250/243AEG2NV SBQQV_2,2kw_440V</t>
  </si>
  <si>
    <t>Unilift AP12.50.11.3_1,8kw_440V</t>
  </si>
  <si>
    <t>B98491981P213320 006</t>
  </si>
  <si>
    <t>B98491981P213320 007</t>
  </si>
  <si>
    <t>7302-01 P 0173</t>
  </si>
  <si>
    <t>7302-01 P 0273</t>
  </si>
  <si>
    <t>Bomba centrífuga - ANSI 60.3/42.2</t>
  </si>
  <si>
    <t>7302-01 PI 0173</t>
  </si>
  <si>
    <t>7302-01 PI 0273</t>
  </si>
  <si>
    <t>7302-01 NRV 0373</t>
  </si>
  <si>
    <t>Transmissor de pH ANSI - 42.2</t>
  </si>
  <si>
    <t>sonde CPS71D-7BU21+ transmetteur CM442-94D6/0 AAM2B6F060AAG</t>
  </si>
  <si>
    <t>sonde CPS71D-7BU21</t>
  </si>
  <si>
    <t>H6149D05E00/H614
8E05E00/H6149E05
E00/H6149F05E00</t>
  </si>
  <si>
    <t>AT</t>
  </si>
  <si>
    <t>MLI 168 37 20 1 3000</t>
  </si>
  <si>
    <t>MBS</t>
  </si>
  <si>
    <t>HEX</t>
  </si>
  <si>
    <t>Trocador de calor - ANSI - 88.9/88.9</t>
  </si>
  <si>
    <t>Válvula borboleta manual ANSI-114.3</t>
  </si>
  <si>
    <t>Válvula de esfera manual - ANSI 88.9</t>
  </si>
  <si>
    <t>Válvula TA-ASME-B36-DN125</t>
  </si>
  <si>
    <t>TA HYDRONICS:TYPE STAF</t>
  </si>
  <si>
    <t>CW1</t>
  </si>
  <si>
    <t>Válvula de esfera manual de 2 vias com rosca ANSI/NPT de 1/2"</t>
  </si>
  <si>
    <t>Válvula de esfera manual de 2 vias com rosca ANSI/NPT de 3/4"</t>
  </si>
  <si>
    <t>BNA- 2''/150/RF-MG-M 2800-V60x2 MRA-2/M/1-ZVSS185/PN25/R48H</t>
  </si>
  <si>
    <t>Transmissor de nível ANSI-60.3</t>
  </si>
  <si>
    <t>Válvula de retenção ANSI-21.3</t>
  </si>
  <si>
    <t>NKG80-65-160/127AEG2NV SBQQV_7,5kw_440V</t>
  </si>
  <si>
    <t>B98491966P213350 001</t>
  </si>
  <si>
    <t>B98491966P213350 002</t>
  </si>
  <si>
    <t>B98491966P213350 003</t>
  </si>
  <si>
    <t>B98491966P213360 001</t>
  </si>
  <si>
    <t>Bomba centrífuga - ANSI - 88.9/73</t>
  </si>
  <si>
    <t>ARM - modelo MR</t>
  </si>
  <si>
    <t>Manômetro para uso geral - ANSI - NPT - 1/3</t>
  </si>
  <si>
    <t>Válvula de segurança - ANSI NPT 1/2</t>
  </si>
  <si>
    <t>679620015G1</t>
  </si>
  <si>
    <t>AGITEC</t>
  </si>
  <si>
    <t>Misturadores ANSI-DN80</t>
  </si>
  <si>
    <t>SVM</t>
  </si>
  <si>
    <t>TCV</t>
  </si>
  <si>
    <t>TI</t>
  </si>
  <si>
    <t>SAMSON</t>
  </si>
  <si>
    <t>Tipo 3241, servomotor tipo 3277 e posicionador tipo 3725</t>
  </si>
  <si>
    <t>Válvula de controle de 2 vias ASME-B36-DN100</t>
  </si>
  <si>
    <t>Termômetro ANSI-NPT 1/2</t>
  </si>
  <si>
    <t>TR10-ABA1CASE43000</t>
  </si>
  <si>
    <t>Transmissor de temperatura ANSI-NPT 1/2</t>
  </si>
  <si>
    <t>TT</t>
  </si>
  <si>
    <t>H7018E14152 H7018D14152</t>
  </si>
  <si>
    <t>H7018F14152</t>
  </si>
  <si>
    <t>V105B 791+ASR80+IN0108+E10137</t>
  </si>
  <si>
    <t>Válvula borboleta automática ANSI-88.9</t>
  </si>
  <si>
    <t>Válvula borboleta automática ANSI-168.3</t>
  </si>
  <si>
    <t>Válvula borboleta automática ANSI-48.3</t>
  </si>
  <si>
    <t>Bray serie 40+ASR80+IN0108</t>
  </si>
  <si>
    <t>Bray serie31+ASR130+IN0108</t>
  </si>
  <si>
    <t>40+ASR80+IN0108</t>
  </si>
  <si>
    <t>7303-01 AT-0173</t>
  </si>
  <si>
    <t>7303-02 AT-0173</t>
  </si>
  <si>
    <t>7303-02 AT-0273</t>
  </si>
  <si>
    <t>7303-01 AT-0273</t>
  </si>
  <si>
    <t>7303-01 F-0173</t>
  </si>
  <si>
    <t>7303-01 FSL-0173</t>
  </si>
  <si>
    <t>7303-01 HV-0173</t>
  </si>
  <si>
    <t>7303-01 F-0273</t>
  </si>
  <si>
    <t>7303-02 F-0173</t>
  </si>
  <si>
    <t>7303-02 F-0273</t>
  </si>
  <si>
    <t>7303-02 FSL-0173</t>
  </si>
  <si>
    <t>7303-02 HV-0173</t>
  </si>
  <si>
    <t>7303-02 HEX-7302</t>
  </si>
  <si>
    <t>7303-01 HV-0573</t>
  </si>
  <si>
    <t>7303-01 HV-0673</t>
  </si>
  <si>
    <t>7303-01 HV-0773</t>
  </si>
  <si>
    <t>7303-01 HV-0873</t>
  </si>
  <si>
    <t>7303-01 HV-0273</t>
  </si>
  <si>
    <t>7303-01 HV-0373</t>
  </si>
  <si>
    <t>7303-01 HV-0473</t>
  </si>
  <si>
    <t>7303-01 HV-0973</t>
  </si>
  <si>
    <t>7303-01 HV-1073</t>
  </si>
  <si>
    <t>7303-01 HV-1173</t>
  </si>
  <si>
    <t>7303-01 HV-1273</t>
  </si>
  <si>
    <t>7303-01 HV-1373</t>
  </si>
  <si>
    <t>7303-01 HV-1473</t>
  </si>
  <si>
    <t>7303-01 HV-1573</t>
  </si>
  <si>
    <t>7303-01 HV-1673</t>
  </si>
  <si>
    <t>7303-01 HV-1773</t>
  </si>
  <si>
    <t>7303-01 HV-1873</t>
  </si>
  <si>
    <t>7303-01 HV-1973</t>
  </si>
  <si>
    <t>7303-02 HV-0273</t>
  </si>
  <si>
    <t>7303-02 HV-0373</t>
  </si>
  <si>
    <t>7303-02 HV-0473</t>
  </si>
  <si>
    <t>7303-02 HV-0573</t>
  </si>
  <si>
    <t>7303-02 HV-0673</t>
  </si>
  <si>
    <t>7303-02 HV-0773</t>
  </si>
  <si>
    <t>7303-02 HV-0873</t>
  </si>
  <si>
    <t>7303-02 HV-0973</t>
  </si>
  <si>
    <t>7303-02 HV-1073</t>
  </si>
  <si>
    <t>7303-02 HV-1173</t>
  </si>
  <si>
    <t>7303-02 HV-1673</t>
  </si>
  <si>
    <t>7303-02 HV-1773</t>
  </si>
  <si>
    <t>7303-02 HV-1873</t>
  </si>
  <si>
    <t>7303-02 HV-1973</t>
  </si>
  <si>
    <t>7303-01 LIT-0173</t>
  </si>
  <si>
    <t>7303-02 LIT-0273</t>
  </si>
  <si>
    <t>7303-01 LSHA-0173</t>
  </si>
  <si>
    <t>7303-01 LSHA-0273</t>
  </si>
  <si>
    <t>7303-01 NRV-0173</t>
  </si>
  <si>
    <t>7303-01 NRV-0273</t>
  </si>
  <si>
    <t>7303-01 NRV-0373</t>
  </si>
  <si>
    <t>7303-01 NRV-0473</t>
  </si>
  <si>
    <t>7303-02 NRV-0573</t>
  </si>
  <si>
    <t>7303-02 NRV-0373</t>
  </si>
  <si>
    <t>7303-02 NRV-0273</t>
  </si>
  <si>
    <t>7303-02 P-0273</t>
  </si>
  <si>
    <t>7303-02 PI-0273</t>
  </si>
  <si>
    <t>7303-02 NRV-0173</t>
  </si>
  <si>
    <t>7303-02 P-0173</t>
  </si>
  <si>
    <t>7303-02 PI-0173</t>
  </si>
  <si>
    <t>7303-02 NRV-0473</t>
  </si>
  <si>
    <t>7303-01 NRV-0573</t>
  </si>
  <si>
    <t>7303-01 P-0173</t>
  </si>
  <si>
    <t>7303-01 P-0273</t>
  </si>
  <si>
    <t>7303-01 PI-0173</t>
  </si>
  <si>
    <t>7303-01 PI-0273</t>
  </si>
  <si>
    <t>7303-01 PI-0373</t>
  </si>
  <si>
    <t>7303-01 PI-0473</t>
  </si>
  <si>
    <t>7303-01 PSV-0173</t>
  </si>
  <si>
    <t>7303-01 SVM-0173</t>
  </si>
  <si>
    <t>7303-02 SVM-0273</t>
  </si>
  <si>
    <t>7303-01 TCV-0173</t>
  </si>
  <si>
    <t>7303-01 TI-0173</t>
  </si>
  <si>
    <t>7303-01 TI-0273</t>
  </si>
  <si>
    <t>7303-01 TI-0373</t>
  </si>
  <si>
    <t>7303-02 TI-0173</t>
  </si>
  <si>
    <t>7303-01 TT-0173</t>
  </si>
  <si>
    <t>7303-01 TT-0273</t>
  </si>
  <si>
    <t>7303-01 TT-0373</t>
  </si>
  <si>
    <t>7303-02 TT-0173</t>
  </si>
  <si>
    <t>7303-01 XV-0173</t>
  </si>
  <si>
    <t>7303-01 XV-0273</t>
  </si>
  <si>
    <t>7303-01 XV-0373</t>
  </si>
  <si>
    <t>7303-01 XV-0473</t>
  </si>
  <si>
    <t>7303-01 XV-0573</t>
  </si>
  <si>
    <t>7303-01 XV-0773</t>
  </si>
  <si>
    <t>7303-01 XV-0873</t>
  </si>
  <si>
    <t>7303-01 XV-0973</t>
  </si>
  <si>
    <t>7303-01 XV-1073</t>
  </si>
  <si>
    <t>7303-02 XV-0173</t>
  </si>
  <si>
    <t>7303-02 XV-0273</t>
  </si>
  <si>
    <t>7303-02 XV-0373</t>
  </si>
  <si>
    <t>7303-02 XV-0473</t>
  </si>
  <si>
    <t>7303-02 XV-0573</t>
  </si>
  <si>
    <t>NÃO</t>
  </si>
  <si>
    <t>SIM</t>
  </si>
  <si>
    <t>ORIGEM</t>
  </si>
  <si>
    <t>STATUS_TAG</t>
  </si>
  <si>
    <t>TAG_CHECK</t>
  </si>
  <si>
    <t>CALIB_CHECK</t>
  </si>
  <si>
    <t>4600-LE-6902</t>
  </si>
  <si>
    <t>4600-LE-7201</t>
  </si>
  <si>
    <t>4600-LE-7301</t>
  </si>
  <si>
    <t>4600-LE-7302</t>
  </si>
  <si>
    <t>4600-LE-7303</t>
  </si>
  <si>
    <t>TOTAL DE ATIVOS</t>
  </si>
  <si>
    <t>PENDÊNCIAS DE TAG</t>
  </si>
  <si>
    <t>INSTR. CALIBRÁVEIS</t>
  </si>
  <si>
    <t>B03</t>
  </si>
  <si>
    <t>B02</t>
  </si>
  <si>
    <t>PAINEL DE INSTRUMENTOS WW B02 E B03 - EFLUENTES HSO</t>
  </si>
  <si>
    <t>7201-01 LSHH-0172</t>
  </si>
  <si>
    <t>7201-01-LSLL-0172</t>
  </si>
  <si>
    <t>7201-01 HV-1672</t>
  </si>
  <si>
    <t>Grupos de Instrumentos</t>
  </si>
  <si>
    <t>3...300cm/s</t>
  </si>
  <si>
    <t>0,01 m/s até 10 m/s</t>
  </si>
  <si>
    <t>150 mm até 6000 mm</t>
  </si>
  <si>
    <t>10 mm</t>
  </si>
  <si>
    <t>25 bar</t>
  </si>
  <si>
    <t>0-6 bar</t>
  </si>
  <si>
    <t>0-5 bar</t>
  </si>
  <si>
    <t>6 bar</t>
  </si>
  <si>
    <t>300cm/s</t>
  </si>
  <si>
    <t>0 a 14 pH</t>
  </si>
  <si>
    <t>0.01 pH</t>
  </si>
  <si>
    <t>10 bar</t>
  </si>
  <si>
    <t>R7301</t>
  </si>
  <si>
    <t>TK HE</t>
  </si>
  <si>
    <t>CARBOFIBRAS</t>
  </si>
  <si>
    <t>H160-006</t>
  </si>
  <si>
    <t>12.520L</t>
  </si>
  <si>
    <t>R7302</t>
  </si>
  <si>
    <t>H300-052</t>
  </si>
  <si>
    <t>Tanque Efluentes</t>
  </si>
  <si>
    <t>R7303</t>
  </si>
  <si>
    <t>H300-053</t>
  </si>
  <si>
    <t>116.637L</t>
  </si>
  <si>
    <t>R7304</t>
  </si>
  <si>
    <t>H220-001</t>
  </si>
  <si>
    <t>31.235L</t>
  </si>
  <si>
    <t>NA</t>
  </si>
  <si>
    <t>0 a 20 mm</t>
  </si>
  <si>
    <t>0 a 20 m</t>
  </si>
  <si>
    <t>20 m</t>
  </si>
  <si>
    <t>FTL50-AGNZAQD3C</t>
  </si>
  <si>
    <t>-50 a +150 °C / -1 a +64 bar</t>
  </si>
  <si>
    <t>-30℃/+50℃</t>
  </si>
  <si>
    <t>-200...+600 °C</t>
  </si>
  <si>
    <t>Não Crítico</t>
  </si>
  <si>
    <t>0, 2.5, 5, 7.5, 10, 12.5, 15, 17.5, 20 m</t>
  </si>
  <si>
    <t>0%, 10%, 25%, 50%, 75%, 90%, 100% FS</t>
  </si>
  <si>
    <t>Valor do Setpoint</t>
  </si>
  <si>
    <t>0%, 10%, 25%, 50%, 75%, 90%, 100% Span</t>
  </si>
  <si>
    <t>1, 2, 3, 4 e 5 bar</t>
  </si>
  <si>
    <t>pH 4, pH 7, pH 10</t>
  </si>
  <si>
    <t>−30, −20, −10, 0, +10, +30, +50 °C</t>
  </si>
  <si>
    <t>−200, −100, 0, 200, 400, 500 e 600 °C</t>
  </si>
  <si>
    <t>Hemobrás</t>
  </si>
  <si>
    <t>B03 - SUBSOLO</t>
  </si>
  <si>
    <t>B02 - SUBSOLO</t>
  </si>
  <si>
    <t>HSO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</si>
</sst>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sz val="11"/>
      <color rgb="FF1F1F1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  <font>
      <sz val="10"/>
      <color rgb="FF000000"/>
      <name val="Arial"/>
    </font>
    <font>
      <sz val="10"/>
      <color theme="1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Border="1" applyAlignment="1" applyProtection="1">
      <protection locked="0"/>
    </xf>
    <xf numFmtId="0" fontId="2" fillId="0" borderId="0" xfId="0" applyFont="1" applyBorder="1" applyAlignment="1" applyProtection="1">
      <alignment wrapText="1" readingOrder="1"/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Fill="1" applyProtection="1">
      <protection locked="0"/>
    </xf>
    <xf numFmtId="0" fontId="4" fillId="0" borderId="0" xfId="0" applyFont="1" applyProtection="1"/>
    <xf numFmtId="0" fontId="0" fillId="0" borderId="0" xfId="0" applyProtection="1"/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5" fillId="6" borderId="3" xfId="0" applyFont="1" applyFill="1" applyBorder="1" applyAlignment="1" applyProtection="1">
      <alignment horizontal="center" vertical="center"/>
    </xf>
    <xf numFmtId="0" fontId="5" fillId="7" borderId="3" xfId="0" applyFont="1" applyFill="1" applyBorder="1" applyAlignment="1" applyProtection="1">
      <alignment horizontal="center" vertical="center"/>
    </xf>
    <xf numFmtId="0" fontId="5" fillId="8" borderId="3" xfId="0" applyFont="1" applyFill="1" applyBorder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/>
    </xf>
    <xf numFmtId="0" fontId="6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vertical="center"/>
      <protection locked="0"/>
    </xf>
    <xf numFmtId="0" fontId="9" fillId="0" borderId="5" xfId="1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</cellXfs>
  <cellStyles count="2">
    <cellStyle name="Normal" xfId="0" builtinId="0"/>
    <cellStyle name="Título 4" xfId="1" builtinId="19"/>
  </cellStyles>
  <dxfs count="3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003366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11</xdr:row>
      <xdr:rowOff>161925</xdr:rowOff>
    </xdr:from>
    <xdr:to>
      <xdr:col>1</xdr:col>
      <xdr:colOff>1847850</xdr:colOff>
      <xdr:row>25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">
              <a:extLst>
                <a:ext uri="{FF2B5EF4-FFF2-40B4-BE49-F238E27FC236}">
                  <a16:creationId xmlns:a16="http://schemas.microsoft.com/office/drawing/2014/main" id="{B4A2F444-BE93-4ADE-A862-611FDDA7722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2667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19050</xdr:colOff>
      <xdr:row>6</xdr:row>
      <xdr:rowOff>66675</xdr:rowOff>
    </xdr:from>
    <xdr:to>
      <xdr:col>1</xdr:col>
      <xdr:colOff>1847850</xdr:colOff>
      <xdr:row>11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Local">
              <a:extLst>
                <a:ext uri="{FF2B5EF4-FFF2-40B4-BE49-F238E27FC236}">
                  <a16:creationId xmlns:a16="http://schemas.microsoft.com/office/drawing/2014/main" id="{DD0738DB-3E38-45C1-8DB2-6DACC764AC17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1619250"/>
              <a:ext cx="1828800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1895474</xdr:colOff>
      <xdr:row>6</xdr:row>
      <xdr:rowOff>76200</xdr:rowOff>
    </xdr:from>
    <xdr:to>
      <xdr:col>1</xdr:col>
      <xdr:colOff>4114799</xdr:colOff>
      <xdr:row>11</xdr:row>
      <xdr:rowOff>85725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alibração (SIM ou NÃO)">
              <a:extLst>
                <a:ext uri="{FF2B5EF4-FFF2-40B4-BE49-F238E27FC236}">
                  <a16:creationId xmlns:a16="http://schemas.microsoft.com/office/drawing/2014/main" id="{3C8859E7-1E4B-4BA9-9544-8C53E57D1CC6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libração (SIM ou NÃ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5074" y="1628775"/>
              <a:ext cx="22193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>
    <xdr:from>
      <xdr:col>4</xdr:col>
      <xdr:colOff>28576</xdr:colOff>
      <xdr:row>1</xdr:row>
      <xdr:rowOff>123824</xdr:rowOff>
    </xdr:from>
    <xdr:to>
      <xdr:col>5</xdr:col>
      <xdr:colOff>314326</xdr:colOff>
      <xdr:row>2</xdr:row>
      <xdr:rowOff>95249</xdr:rowOff>
    </xdr:to>
    <xdr:sp macro="[0]!Atualizar_Dados_Sem_Quebr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1DA0E60-528F-46E9-BAB8-469D3174BF5B}"/>
            </a:ext>
          </a:extLst>
        </xdr:cNvPr>
        <xdr:cNvSpPr/>
      </xdr:nvSpPr>
      <xdr:spPr>
        <a:xfrm>
          <a:off x="9134476" y="314324"/>
          <a:ext cx="15811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/>
            <a:t>🔄 ATUALIZAR DADOS</a:t>
          </a:r>
          <a:endParaRPr lang="en-US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stema" xr10:uid="{5250998D-349C-446C-9A9F-F80BB0BD805F}" sourceName="Grupos de Instrumentos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cal" xr10:uid="{A786635F-5B60-4D90-9000-8585E76C1A7C}" sourceName="Local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libração__SIM_ou_NÃO" xr10:uid="{5C343828-EEF6-4FF3-B813-DA60FCF70531}" sourceName="Calibração (SIM ou NÃO)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stema" xr10:uid="{F7C3F8B0-5994-4BEF-9AC9-ED7BA4F2D911}" cache="SegmentaçãodeDados_Sistema" caption="Grupos de Instrumentos" lockedPosition="1" rowHeight="241300"/>
  <slicer name="Local" xr10:uid="{CC72D724-DFCA-4D67-A967-BA620A6CE251}" cache="SegmentaçãodeDados_Local" caption="Local" lockedPosition="1" rowHeight="241300"/>
  <slicer name="Calibração (SIM ou NÃO)" xr10:uid="{A921E0BD-CA4F-4B7B-AAC8-E8AA4DEBC33F}" cache="SegmentaçãodeDados_Calibração__SIM_ou_NÃO" caption="Calibração (SIM ou NÃO)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F5ECF9-AB81-4366-A0B4-051D2E7C19BB}" name="TabelaMestre" displayName="TabelaMestre" ref="A1:AG209" totalsRowShown="0" headerRowDxfId="34" dataDxfId="33">
  <autoFilter ref="A1:AG209" xr:uid="{2C487E86-BA8E-4323-A8B7-9B94B3A70DFC}"/>
  <tableColumns count="33">
    <tableColumn id="1" xr3:uid="{47FE1593-C75F-4EAF-9CB0-594D932A94D1}" name="Grupos de Instrumentos" dataDxfId="32"/>
    <tableColumn id="2" xr3:uid="{E1047268-2A84-44CA-8EF6-A13D1C10957E}" name="TAG Hemobrás" dataDxfId="31"/>
    <tableColumn id="3" xr3:uid="{CADD42C3-C47E-4163-B0F4-7259299F86BB}" name="Local" dataDxfId="30"/>
    <tableColumn id="4" xr3:uid="{460CC2A6-AB6D-4F16-991F-CB3CBDC766A8}" name="Sala/Sistema" dataDxfId="29"/>
    <tableColumn id="5" xr3:uid="{E55EA5E8-B21D-4EE4-9D3D-FEDB6174F3B2}" name="Descrição dos Equipamentos" dataDxfId="28"/>
    <tableColumn id="6" xr3:uid="{A82FC00F-4E96-49CE-9925-E85E4796E645}" name="Status de uso" dataDxfId="27"/>
    <tableColumn id="7" xr3:uid="{25121372-0093-4BDA-8B42-33550861F95F}" name="Associado à produção dos produtos (ex. albumina, Fator VIII, etc)" dataDxfId="26"/>
    <tableColumn id="8" xr3:uid="{048CD8CC-C0B2-4C3F-B6F8-A4B123966216}" name="Marca" dataDxfId="25"/>
    <tableColumn id="9" xr3:uid="{6A190656-C83E-4726-9D23-D559F7789E5F}" name="Modelo" dataDxfId="24"/>
    <tableColumn id="10" xr3:uid="{D3F587A1-46B9-4553-BFD1-16790E9D3B76}" name="Nº série" dataDxfId="23"/>
    <tableColumn id="11" xr3:uid="{268B8778-3DF6-4AB9-8A99-661B711E4890}" name="Ano de instalação" dataDxfId="22"/>
    <tableColumn id="12" xr3:uid="{A5B62C89-AAB9-49E5-ADC1-EE398655D8F8}" name="Capacidade" dataDxfId="21"/>
    <tableColumn id="13" xr3:uid="{13FA38D2-A33C-4EFF-85F2-E4D04B7B3B99}" name="Resolução" dataDxfId="20"/>
    <tableColumn id="14" xr3:uid="{A21A248D-829A-4E0A-9D68-8F97C4DC60E4}" name="Faixa de Medição" dataDxfId="19"/>
    <tableColumn id="15" xr3:uid="{504C2142-829E-4A2F-9248-5FA2D322C90A}" name="Faixa de Operação" dataDxfId="18"/>
    <tableColumn id="16" xr3:uid="{2DBE29C8-6673-45E7-8963-B6A23AD57310}" name="Responsabilidade (ex. Hemobrás, JCI, etc)" dataDxfId="17"/>
    <tableColumn id="17" xr3:uid="{CF35B12A-323B-4DAD-AFF1-9FC11C799E7C}" name="Periodicidade" dataDxfId="16"/>
    <tableColumn id="18" xr3:uid="{5BAB4804-64AF-4AF4-952B-39EA75C63A2A}" name="Observação" dataDxfId="15"/>
    <tableColumn id="19" xr3:uid="{8570CAA4-02E1-4F9E-B229-201D2E12196B}" name="Criticidade (Crítico ou Não Crítico)" dataDxfId="14"/>
    <tableColumn id="20" xr3:uid="{179985B3-EB75-4538-B95F-85B29F9E70C3}" name="Subclassificação do status crítico" dataDxfId="13"/>
    <tableColumn id="21" xr3:uid="{0C743833-9343-4629-B73E-C599AC025BC8}" name="Calibração (SIM ou NÃO)" dataDxfId="12"/>
    <tableColumn id="22" xr3:uid="{FFAF5C7D-EBBD-438C-B288-9A69491F9698}" name="Intervalo de tolerância" dataDxfId="11"/>
    <tableColumn id="23" xr3:uid="{BE367540-5A41-4DD0-B019-2CF37ADC9BFD}" name="Critério de aceitação" dataDxfId="10"/>
    <tableColumn id="24" xr3:uid="{FAF89687-38DC-4DC8-8988-62E2FBAF2C11}" name="Pontos de Calibração" dataDxfId="9"/>
    <tableColumn id="25" xr3:uid="{CD534300-52C4-4B99-BD8D-FA5E7BBC524A}" name="Periodicidade de calibração" dataDxfId="8"/>
    <tableColumn id="26" xr3:uid="{E467F4C9-2629-400F-87A8-6CE17AD02C23}" name="Qualificação (SIM ou NÃO)" dataDxfId="7"/>
    <tableColumn id="27" xr3:uid="{05263763-26FF-43C1-9874-A8E212D44D40}" name="Qualificação Inicial" dataDxfId="6"/>
    <tableColumn id="28" xr3:uid="{4E707D03-5EEE-4603-A7D1-C32C53C4EF76}" name="Status de qualificação" dataDxfId="5"/>
    <tableColumn id="29" xr3:uid="{0FF3DFB4-DDFB-4C11-A872-0E509A2578C1}" name="Observação*" dataDxfId="4"/>
    <tableColumn id="30" xr3:uid="{095D99E0-EC1D-4F8F-9004-A444D1C04DA9}" name="ORIGEM" dataDxfId="3"/>
    <tableColumn id="31" xr3:uid="{63CD075E-DC92-438B-8E8F-B516D7CE9E54}" name="STATUS_TAG" dataDxfId="2">
      <calculatedColumnFormula>IF(TRIM(B2)="","PENDENTE","OK")</calculatedColumnFormula>
    </tableColumn>
    <tableColumn id="32" xr3:uid="{7E51B83C-53B5-4DD7-94E8-42AF47DF3351}" name="TAG_CHECK" dataDxfId="1">
      <calculatedColumnFormula>IF(AE2="PENDENTE",1,0)</calculatedColumnFormula>
    </tableColumn>
    <tableColumn id="33" xr3:uid="{D7BBEB30-2C89-456B-B732-A7F1A93B929D}" name="CALIB_CHECK" dataDxfId="0">
      <calculatedColumnFormula>IF(LEFT(UPPER(TRIM(U2)),3)="SIM",1,0)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9D030-2AC1-42F1-9F57-F69084584454}">
  <sheetPr codeName="Planilha10"/>
  <dimension ref="B2:I6"/>
  <sheetViews>
    <sheetView showGridLines="0" showRowColHeaders="0" workbookViewId="0">
      <selection activeCell="H5" sqref="H5"/>
    </sheetView>
  </sheetViews>
  <sheetFormatPr defaultRowHeight="15" x14ac:dyDescent="0.25"/>
  <cols>
    <col min="1" max="1" width="9.140625" style="16"/>
    <col min="2" max="2" width="109.140625" style="16" bestFit="1" customWidth="1"/>
    <col min="3" max="4" width="9.140625" style="16"/>
    <col min="5" max="5" width="19.42578125" style="16" bestFit="1" customWidth="1"/>
    <col min="6" max="7" width="9.140625" style="16"/>
    <col min="8" max="8" width="18.7109375" style="16" bestFit="1" customWidth="1"/>
    <col min="9" max="16384" width="9.140625" style="16"/>
  </cols>
  <sheetData>
    <row r="2" spans="2:9" ht="28.5" x14ac:dyDescent="0.45">
      <c r="B2" s="15" t="s">
        <v>409</v>
      </c>
    </row>
    <row r="4" spans="2:9" x14ac:dyDescent="0.25">
      <c r="B4" s="17" t="s">
        <v>404</v>
      </c>
      <c r="C4" s="17"/>
      <c r="E4" s="18" t="s">
        <v>405</v>
      </c>
      <c r="F4" s="18"/>
      <c r="H4" s="19" t="s">
        <v>406</v>
      </c>
      <c r="I4" s="19"/>
    </row>
    <row r="5" spans="2:9" ht="33.75" x14ac:dyDescent="0.25">
      <c r="B5" s="20">
        <f>SUBTOTAL(3,BASE_CONSOLIDADA!A:A)-1</f>
        <v>208</v>
      </c>
      <c r="C5" s="17"/>
      <c r="E5" s="21">
        <f>SUBTOTAL(9,BASE_CONSOLIDADA!AF:AF)</f>
        <v>0</v>
      </c>
      <c r="F5" s="18"/>
      <c r="H5" s="22">
        <f>SUBTOTAL(9,BASE_CONSOLIDADA!AG:AG)</f>
        <v>41</v>
      </c>
      <c r="I5" s="19"/>
    </row>
    <row r="6" spans="2:9" x14ac:dyDescent="0.25">
      <c r="B6" s="17"/>
      <c r="C6" s="17"/>
      <c r="E6" s="18"/>
      <c r="F6" s="18"/>
      <c r="H6" s="19"/>
      <c r="I6" s="19"/>
    </row>
  </sheetData>
  <sheetProtection algorithmName="SHA-512" hashValue="ogoQIZ44Fn+aa8bJpI41RlBqbe4GL0DAtN1vnCOSJ9PR+/HU3nHZXPqpf8U+Ab00sE5V1cpMwq6ZA4Fu2QGcIw==" saltValue="nl6Jul9CfF044TJKl66cEA==" spinCount="100000" sheet="1" objects="1" scenarios="1" autoFilter="0" pivotTables="0"/>
  <pageMargins left="0.511811024" right="0.511811024" top="0.78740157499999996" bottom="0.78740157499999996" header="0.31496062000000002" footer="0.31496062000000002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12128-2E63-4B52-890C-9496EB67013B}">
  <sheetPr codeName="Planilha9"/>
  <dimension ref="A1:AG209"/>
  <sheetViews>
    <sheetView workbookViewId="0">
      <selection activeCell="A114" sqref="A114:AC209"/>
    </sheetView>
  </sheetViews>
  <sheetFormatPr defaultRowHeight="15" x14ac:dyDescent="0.25"/>
  <cols>
    <col min="1" max="1" width="27.42578125" style="16" bestFit="1" customWidth="1"/>
    <col min="2" max="2" width="18.85546875" style="16" bestFit="1" customWidth="1"/>
    <col min="3" max="3" width="10" style="16" bestFit="1" customWidth="1"/>
    <col min="4" max="4" width="17" style="16" bestFit="1" customWidth="1"/>
    <col min="5" max="5" width="58" style="16" bestFit="1" customWidth="1"/>
    <col min="6" max="6" width="17.28515625" style="16" bestFit="1" customWidth="1"/>
    <col min="7" max="7" width="64.28515625" style="16" bestFit="1" customWidth="1"/>
    <col min="8" max="8" width="19" style="16" bestFit="1" customWidth="1"/>
    <col min="9" max="9" width="63.85546875" style="16" bestFit="1" customWidth="1"/>
    <col min="10" max="10" width="52.7109375" style="16" bestFit="1" customWidth="1"/>
    <col min="11" max="11" width="21.28515625" style="16" bestFit="1" customWidth="1"/>
    <col min="12" max="12" width="15.7109375" style="16" bestFit="1" customWidth="1"/>
    <col min="13" max="13" width="14.5703125" style="16" bestFit="1" customWidth="1"/>
    <col min="14" max="14" width="21.140625" style="16" bestFit="1" customWidth="1"/>
    <col min="15" max="15" width="22" style="16" bestFit="1" customWidth="1"/>
    <col min="16" max="16" width="43.42578125" style="16" bestFit="1" customWidth="1"/>
    <col min="17" max="17" width="18" style="16" bestFit="1" customWidth="1"/>
    <col min="18" max="18" width="15.85546875" style="16" bestFit="1" customWidth="1"/>
    <col min="19" max="19" width="36.28515625" style="16" bestFit="1" customWidth="1"/>
    <col min="20" max="20" width="34.7109375" style="16" bestFit="1" customWidth="1"/>
    <col min="21" max="21" width="27.7109375" style="16" bestFit="1" customWidth="1"/>
    <col min="22" max="22" width="26" style="16" bestFit="1" customWidth="1"/>
    <col min="23" max="23" width="24" style="16" bestFit="1" customWidth="1"/>
    <col min="24" max="24" width="24.28515625" style="16" bestFit="1" customWidth="1"/>
    <col min="25" max="25" width="30.42578125" style="16" bestFit="1" customWidth="1"/>
    <col min="26" max="26" width="29.42578125" style="16" bestFit="1" customWidth="1"/>
    <col min="27" max="27" width="22.42578125" style="16" bestFit="1" customWidth="1"/>
    <col min="28" max="28" width="25" style="16" bestFit="1" customWidth="1"/>
    <col min="29" max="29" width="16.85546875" style="16" bestFit="1" customWidth="1"/>
    <col min="30" max="30" width="13" style="16" bestFit="1" customWidth="1"/>
    <col min="31" max="31" width="17" style="16" bestFit="1" customWidth="1"/>
    <col min="32" max="32" width="16" style="16" bestFit="1" customWidth="1"/>
    <col min="33" max="33" width="17.28515625" style="16" bestFit="1" customWidth="1"/>
    <col min="34" max="16384" width="9.140625" style="16"/>
  </cols>
  <sheetData>
    <row r="1" spans="1:33" x14ac:dyDescent="0.25">
      <c r="A1" s="23" t="s">
        <v>413</v>
      </c>
      <c r="B1" s="23" t="s">
        <v>24</v>
      </c>
      <c r="C1" s="23" t="s">
        <v>25</v>
      </c>
      <c r="D1" s="23" t="s">
        <v>26</v>
      </c>
      <c r="E1" s="23" t="s">
        <v>27</v>
      </c>
      <c r="F1" s="23" t="s">
        <v>28</v>
      </c>
      <c r="G1" s="23" t="s">
        <v>29</v>
      </c>
      <c r="H1" s="23" t="s">
        <v>30</v>
      </c>
      <c r="I1" s="23" t="s">
        <v>31</v>
      </c>
      <c r="J1" s="23" t="s">
        <v>32</v>
      </c>
      <c r="K1" s="23" t="s">
        <v>33</v>
      </c>
      <c r="L1" s="23" t="s">
        <v>34</v>
      </c>
      <c r="M1" s="23" t="s">
        <v>35</v>
      </c>
      <c r="N1" s="23" t="s">
        <v>36</v>
      </c>
      <c r="O1" s="23" t="s">
        <v>37</v>
      </c>
      <c r="P1" s="23" t="s">
        <v>38</v>
      </c>
      <c r="Q1" s="23" t="s">
        <v>39</v>
      </c>
      <c r="R1" s="23" t="s">
        <v>40</v>
      </c>
      <c r="S1" s="23" t="s">
        <v>41</v>
      </c>
      <c r="T1" s="23" t="s">
        <v>42</v>
      </c>
      <c r="U1" s="23" t="s">
        <v>43</v>
      </c>
      <c r="V1" s="23" t="s">
        <v>44</v>
      </c>
      <c r="W1" s="23" t="s">
        <v>45</v>
      </c>
      <c r="X1" s="23" t="s">
        <v>46</v>
      </c>
      <c r="Y1" s="23" t="s">
        <v>47</v>
      </c>
      <c r="Z1" s="23" t="s">
        <v>48</v>
      </c>
      <c r="AA1" s="23" t="s">
        <v>49</v>
      </c>
      <c r="AB1" s="23" t="s">
        <v>50</v>
      </c>
      <c r="AC1" s="23" t="s">
        <v>51</v>
      </c>
      <c r="AD1" s="23" t="s">
        <v>395</v>
      </c>
      <c r="AE1" s="23" t="s">
        <v>396</v>
      </c>
      <c r="AF1" s="23" t="s">
        <v>397</v>
      </c>
      <c r="AG1" s="23" t="s">
        <v>398</v>
      </c>
    </row>
    <row r="2" spans="1:33" s="1" customFormat="1" x14ac:dyDescent="0.25">
      <c r="A2" s="1" t="s">
        <v>1</v>
      </c>
      <c r="B2" s="1" t="s">
        <v>199</v>
      </c>
      <c r="C2" s="1" t="s">
        <v>407</v>
      </c>
      <c r="D2" s="1" t="s">
        <v>52</v>
      </c>
      <c r="E2" s="1" t="s">
        <v>2</v>
      </c>
      <c r="H2" s="1" t="s">
        <v>0</v>
      </c>
      <c r="I2" s="1" t="s">
        <v>184</v>
      </c>
      <c r="Q2" s="1" t="s">
        <v>53</v>
      </c>
      <c r="R2" s="1" t="s">
        <v>10</v>
      </c>
      <c r="S2" s="1" t="s">
        <v>448</v>
      </c>
      <c r="U2" s="1" t="s">
        <v>393</v>
      </c>
      <c r="AD2" s="1" t="s">
        <v>399</v>
      </c>
      <c r="AE2" s="1" t="str">
        <f t="shared" ref="AE2:AE65" si="0">IF(TRIM(B2)="","PENDENTE","OK")</f>
        <v>OK</v>
      </c>
      <c r="AF2" s="1">
        <f t="shared" ref="AF2:AF65" si="1">IF(AE2="PENDENTE",1,0)</f>
        <v>0</v>
      </c>
      <c r="AG2" s="1">
        <f t="shared" ref="AG2:AG65" si="2">IF(LEFT(UPPER(TRIM(U2)),3)="SIM",1,0)</f>
        <v>0</v>
      </c>
    </row>
    <row r="3" spans="1:33" s="1" customFormat="1" x14ac:dyDescent="0.25">
      <c r="A3" s="1" t="s">
        <v>1</v>
      </c>
      <c r="B3" s="1" t="s">
        <v>201</v>
      </c>
      <c r="C3" s="1" t="s">
        <v>407</v>
      </c>
      <c r="D3" s="1" t="s">
        <v>52</v>
      </c>
      <c r="E3" s="1" t="s">
        <v>3</v>
      </c>
      <c r="H3" s="1" t="s">
        <v>0</v>
      </c>
      <c r="I3" s="1" t="s">
        <v>185</v>
      </c>
      <c r="Q3" s="1" t="s">
        <v>53</v>
      </c>
      <c r="R3" s="1" t="s">
        <v>10</v>
      </c>
      <c r="S3" s="1" t="s">
        <v>448</v>
      </c>
      <c r="U3" s="1" t="s">
        <v>393</v>
      </c>
      <c r="AD3" s="1" t="s">
        <v>399</v>
      </c>
      <c r="AE3" s="1" t="str">
        <f t="shared" si="0"/>
        <v>OK</v>
      </c>
      <c r="AF3" s="1">
        <f t="shared" si="1"/>
        <v>0</v>
      </c>
      <c r="AG3" s="1">
        <f t="shared" si="2"/>
        <v>0</v>
      </c>
    </row>
    <row r="4" spans="1:33" s="1" customFormat="1" x14ac:dyDescent="0.25">
      <c r="A4" s="1" t="s">
        <v>1</v>
      </c>
      <c r="B4" s="1" t="s">
        <v>202</v>
      </c>
      <c r="C4" s="1" t="s">
        <v>407</v>
      </c>
      <c r="D4" s="1" t="s">
        <v>52</v>
      </c>
      <c r="E4" s="1" t="s">
        <v>4</v>
      </c>
      <c r="H4" s="1" t="s">
        <v>0</v>
      </c>
      <c r="I4" s="1" t="s">
        <v>186</v>
      </c>
      <c r="Q4" s="1" t="s">
        <v>53</v>
      </c>
      <c r="R4" s="1" t="s">
        <v>10</v>
      </c>
      <c r="S4" s="1" t="s">
        <v>448</v>
      </c>
      <c r="U4" s="1" t="s">
        <v>393</v>
      </c>
      <c r="AD4" s="1" t="s">
        <v>399</v>
      </c>
      <c r="AE4" s="1" t="str">
        <f t="shared" si="0"/>
        <v>OK</v>
      </c>
      <c r="AF4" s="1">
        <f t="shared" si="1"/>
        <v>0</v>
      </c>
      <c r="AG4" s="1">
        <f t="shared" si="2"/>
        <v>0</v>
      </c>
    </row>
    <row r="5" spans="1:33" s="1" customFormat="1" x14ac:dyDescent="0.25">
      <c r="A5" s="1" t="s">
        <v>1</v>
      </c>
      <c r="B5" s="1" t="s">
        <v>200</v>
      </c>
      <c r="C5" s="1" t="s">
        <v>407</v>
      </c>
      <c r="D5" s="1" t="s">
        <v>52</v>
      </c>
      <c r="E5" s="1" t="s">
        <v>2</v>
      </c>
      <c r="H5" s="1" t="s">
        <v>0</v>
      </c>
      <c r="I5" s="1" t="s">
        <v>184</v>
      </c>
      <c r="Q5" s="1" t="s">
        <v>53</v>
      </c>
      <c r="R5" s="1" t="s">
        <v>10</v>
      </c>
      <c r="S5" s="1" t="s">
        <v>448</v>
      </c>
      <c r="U5" s="1" t="s">
        <v>393</v>
      </c>
      <c r="AD5" s="1" t="s">
        <v>399</v>
      </c>
      <c r="AE5" s="1" t="str">
        <f t="shared" si="0"/>
        <v>OK</v>
      </c>
      <c r="AF5" s="1">
        <f t="shared" si="1"/>
        <v>0</v>
      </c>
      <c r="AG5" s="1">
        <f t="shared" si="2"/>
        <v>0</v>
      </c>
    </row>
    <row r="6" spans="1:33" x14ac:dyDescent="0.25">
      <c r="A6" s="16" t="s">
        <v>73</v>
      </c>
      <c r="B6" s="16" t="s">
        <v>187</v>
      </c>
      <c r="C6" s="16" t="s">
        <v>407</v>
      </c>
      <c r="D6" s="16" t="s">
        <v>52</v>
      </c>
      <c r="E6" s="16" t="s">
        <v>7</v>
      </c>
      <c r="H6" s="16" t="s">
        <v>5</v>
      </c>
      <c r="I6" s="16" t="s">
        <v>444</v>
      </c>
      <c r="J6" s="16" t="s">
        <v>6</v>
      </c>
      <c r="O6" s="16" t="s">
        <v>445</v>
      </c>
      <c r="Q6" s="16" t="s">
        <v>53</v>
      </c>
      <c r="R6" s="16" t="s">
        <v>10</v>
      </c>
      <c r="S6" s="16" t="s">
        <v>448</v>
      </c>
      <c r="U6" s="16" t="s">
        <v>393</v>
      </c>
      <c r="AD6" s="16" t="s">
        <v>399</v>
      </c>
      <c r="AE6" s="16" t="str">
        <f t="shared" si="0"/>
        <v>OK</v>
      </c>
      <c r="AF6" s="16">
        <f t="shared" si="1"/>
        <v>0</v>
      </c>
      <c r="AG6" s="16">
        <f t="shared" si="2"/>
        <v>0</v>
      </c>
    </row>
    <row r="7" spans="1:33" s="1" customFormat="1" x14ac:dyDescent="0.25">
      <c r="A7" s="1" t="s">
        <v>9</v>
      </c>
      <c r="B7" s="1" t="s">
        <v>188</v>
      </c>
      <c r="C7" s="1" t="s">
        <v>407</v>
      </c>
      <c r="D7" s="1" t="s">
        <v>52</v>
      </c>
      <c r="E7" s="1" t="s">
        <v>55</v>
      </c>
      <c r="H7" s="1" t="s">
        <v>8</v>
      </c>
      <c r="I7" s="1" t="s">
        <v>54</v>
      </c>
      <c r="M7" s="1" t="s">
        <v>440</v>
      </c>
      <c r="N7" s="1" t="s">
        <v>441</v>
      </c>
      <c r="Q7" s="1" t="s">
        <v>53</v>
      </c>
      <c r="R7" s="1" t="s">
        <v>10</v>
      </c>
      <c r="S7" s="1" t="s">
        <v>448</v>
      </c>
      <c r="U7" s="1" t="s">
        <v>393</v>
      </c>
      <c r="AD7" s="1" t="s">
        <v>399</v>
      </c>
      <c r="AE7" s="1" t="str">
        <f t="shared" si="0"/>
        <v>OK</v>
      </c>
      <c r="AF7" s="1">
        <f t="shared" si="1"/>
        <v>0</v>
      </c>
      <c r="AG7" s="1">
        <f t="shared" si="2"/>
        <v>0</v>
      </c>
    </row>
    <row r="8" spans="1:33" s="1" customFormat="1" x14ac:dyDescent="0.25">
      <c r="A8" s="1" t="s">
        <v>11</v>
      </c>
      <c r="B8" s="1" t="s">
        <v>189</v>
      </c>
      <c r="C8" s="1" t="s">
        <v>407</v>
      </c>
      <c r="D8" s="1" t="s">
        <v>52</v>
      </c>
      <c r="E8" s="1" t="s">
        <v>55</v>
      </c>
      <c r="H8" s="1" t="s">
        <v>8</v>
      </c>
      <c r="I8" s="1" t="s">
        <v>54</v>
      </c>
      <c r="M8" s="1" t="s">
        <v>440</v>
      </c>
      <c r="N8" s="1" t="s">
        <v>441</v>
      </c>
      <c r="Q8" s="1" t="s">
        <v>53</v>
      </c>
      <c r="R8" s="1" t="s">
        <v>10</v>
      </c>
      <c r="S8" s="1" t="s">
        <v>448</v>
      </c>
      <c r="U8" s="1" t="s">
        <v>393</v>
      </c>
      <c r="AD8" s="1" t="s">
        <v>399</v>
      </c>
      <c r="AE8" s="1" t="str">
        <f t="shared" si="0"/>
        <v>OK</v>
      </c>
      <c r="AF8" s="1">
        <f t="shared" si="1"/>
        <v>0</v>
      </c>
      <c r="AG8" s="1">
        <f t="shared" si="2"/>
        <v>0</v>
      </c>
    </row>
    <row r="9" spans="1:33" x14ac:dyDescent="0.25">
      <c r="A9" s="16" t="s">
        <v>60</v>
      </c>
      <c r="B9" s="16" t="s">
        <v>190</v>
      </c>
      <c r="C9" s="16" t="s">
        <v>407</v>
      </c>
      <c r="D9" s="16" t="s">
        <v>52</v>
      </c>
      <c r="E9" s="16" t="s">
        <v>59</v>
      </c>
      <c r="H9" s="16" t="s">
        <v>57</v>
      </c>
      <c r="I9" s="16" t="s">
        <v>56</v>
      </c>
      <c r="J9" s="16" t="s">
        <v>58</v>
      </c>
      <c r="L9" s="16" t="s">
        <v>443</v>
      </c>
      <c r="N9" s="16" t="s">
        <v>442</v>
      </c>
      <c r="Q9" s="16" t="s">
        <v>53</v>
      </c>
      <c r="R9" s="16" t="s">
        <v>10</v>
      </c>
      <c r="S9" s="16" t="s">
        <v>448</v>
      </c>
      <c r="U9" s="16" t="s">
        <v>394</v>
      </c>
      <c r="X9" s="16" t="s">
        <v>449</v>
      </c>
      <c r="AD9" s="16" t="s">
        <v>399</v>
      </c>
      <c r="AE9" s="16" t="str">
        <f t="shared" si="0"/>
        <v>OK</v>
      </c>
      <c r="AF9" s="16">
        <f t="shared" si="1"/>
        <v>0</v>
      </c>
      <c r="AG9" s="16">
        <f t="shared" si="2"/>
        <v>1</v>
      </c>
    </row>
    <row r="10" spans="1:33" s="1" customFormat="1" x14ac:dyDescent="0.25">
      <c r="A10" s="1" t="s">
        <v>13</v>
      </c>
      <c r="B10" s="1" t="s">
        <v>191</v>
      </c>
      <c r="C10" s="1" t="s">
        <v>407</v>
      </c>
      <c r="D10" s="1" t="s">
        <v>52</v>
      </c>
      <c r="E10" s="1" t="s">
        <v>14</v>
      </c>
      <c r="H10" s="1" t="s">
        <v>12</v>
      </c>
      <c r="I10" s="1" t="s">
        <v>61</v>
      </c>
      <c r="J10" s="1" t="s">
        <v>62</v>
      </c>
      <c r="Q10" s="1" t="s">
        <v>53</v>
      </c>
      <c r="R10" s="1" t="s">
        <v>10</v>
      </c>
      <c r="S10" s="1" t="s">
        <v>448</v>
      </c>
      <c r="U10" s="1" t="s">
        <v>393</v>
      </c>
      <c r="AD10" s="1" t="s">
        <v>399</v>
      </c>
      <c r="AE10" s="1" t="str">
        <f t="shared" si="0"/>
        <v>OK</v>
      </c>
      <c r="AF10" s="1">
        <f t="shared" si="1"/>
        <v>0</v>
      </c>
      <c r="AG10" s="1">
        <f t="shared" si="2"/>
        <v>0</v>
      </c>
    </row>
    <row r="11" spans="1:33" s="1" customFormat="1" x14ac:dyDescent="0.25">
      <c r="A11" s="1" t="s">
        <v>13</v>
      </c>
      <c r="B11" s="1" t="s">
        <v>191</v>
      </c>
      <c r="C11" s="1" t="s">
        <v>407</v>
      </c>
      <c r="D11" s="1" t="s">
        <v>52</v>
      </c>
      <c r="E11" s="1" t="s">
        <v>14</v>
      </c>
      <c r="H11" s="1" t="s">
        <v>12</v>
      </c>
      <c r="I11" s="1" t="s">
        <v>61</v>
      </c>
      <c r="J11" s="1" t="s">
        <v>62</v>
      </c>
      <c r="Q11" s="1" t="s">
        <v>53</v>
      </c>
      <c r="R11" s="1" t="s">
        <v>10</v>
      </c>
      <c r="S11" s="1" t="s">
        <v>448</v>
      </c>
      <c r="U11" s="1" t="s">
        <v>393</v>
      </c>
      <c r="AD11" s="1" t="s">
        <v>399</v>
      </c>
      <c r="AE11" s="1" t="str">
        <f t="shared" si="0"/>
        <v>OK</v>
      </c>
      <c r="AF11" s="1">
        <f t="shared" si="1"/>
        <v>0</v>
      </c>
      <c r="AG11" s="1">
        <f t="shared" si="2"/>
        <v>0</v>
      </c>
    </row>
    <row r="12" spans="1:33" s="1" customFormat="1" x14ac:dyDescent="0.25">
      <c r="A12" s="1" t="s">
        <v>15</v>
      </c>
      <c r="B12" s="1" t="s">
        <v>192</v>
      </c>
      <c r="C12" s="1" t="s">
        <v>407</v>
      </c>
      <c r="D12" s="1" t="s">
        <v>52</v>
      </c>
      <c r="E12" s="1" t="s">
        <v>16</v>
      </c>
      <c r="H12" s="1" t="s">
        <v>12</v>
      </c>
      <c r="I12" s="1" t="s">
        <v>63</v>
      </c>
      <c r="J12" s="1">
        <v>12111092</v>
      </c>
      <c r="Q12" s="1" t="s">
        <v>53</v>
      </c>
      <c r="R12" s="1" t="s">
        <v>10</v>
      </c>
      <c r="S12" s="1" t="s">
        <v>448</v>
      </c>
      <c r="U12" s="1" t="s">
        <v>393</v>
      </c>
      <c r="AD12" s="1" t="s">
        <v>399</v>
      </c>
      <c r="AE12" s="1" t="str">
        <f t="shared" si="0"/>
        <v>OK</v>
      </c>
      <c r="AF12" s="1">
        <f t="shared" si="1"/>
        <v>0</v>
      </c>
      <c r="AG12" s="1">
        <f t="shared" si="2"/>
        <v>0</v>
      </c>
    </row>
    <row r="13" spans="1:33" x14ac:dyDescent="0.25">
      <c r="A13" s="16" t="s">
        <v>66</v>
      </c>
      <c r="B13" s="16" t="s">
        <v>193</v>
      </c>
      <c r="C13" s="16" t="s">
        <v>407</v>
      </c>
      <c r="D13" s="16" t="s">
        <v>52</v>
      </c>
      <c r="E13" s="16" t="s">
        <v>18</v>
      </c>
      <c r="H13" s="16" t="s">
        <v>0</v>
      </c>
      <c r="I13" s="16" t="s">
        <v>64</v>
      </c>
      <c r="J13" s="16" t="s">
        <v>65</v>
      </c>
      <c r="Q13" s="16" t="s">
        <v>53</v>
      </c>
      <c r="R13" s="16" t="s">
        <v>10</v>
      </c>
      <c r="S13" s="16" t="s">
        <v>448</v>
      </c>
      <c r="U13" s="16" t="s">
        <v>394</v>
      </c>
      <c r="X13" s="16" t="s">
        <v>450</v>
      </c>
      <c r="AD13" s="16" t="s">
        <v>399</v>
      </c>
      <c r="AE13" s="16" t="str">
        <f t="shared" si="0"/>
        <v>OK</v>
      </c>
      <c r="AF13" s="16">
        <f t="shared" si="1"/>
        <v>0</v>
      </c>
      <c r="AG13" s="16">
        <f t="shared" si="2"/>
        <v>1</v>
      </c>
    </row>
    <row r="14" spans="1:33" x14ac:dyDescent="0.25">
      <c r="A14" s="16" t="s">
        <v>17</v>
      </c>
      <c r="B14" s="16" t="s">
        <v>194</v>
      </c>
      <c r="C14" s="16" t="s">
        <v>407</v>
      </c>
      <c r="D14" s="16" t="s">
        <v>52</v>
      </c>
      <c r="E14" s="16" t="s">
        <v>19</v>
      </c>
      <c r="H14" s="16" t="s">
        <v>0</v>
      </c>
      <c r="I14" s="16" t="s">
        <v>67</v>
      </c>
      <c r="J14" s="16">
        <v>13300329993</v>
      </c>
      <c r="Q14" s="16" t="s">
        <v>53</v>
      </c>
      <c r="R14" s="16" t="s">
        <v>10</v>
      </c>
      <c r="S14" s="16" t="s">
        <v>448</v>
      </c>
      <c r="U14" s="16" t="s">
        <v>394</v>
      </c>
      <c r="X14" s="16" t="s">
        <v>451</v>
      </c>
      <c r="AD14" s="16" t="s">
        <v>399</v>
      </c>
      <c r="AE14" s="16" t="str">
        <f t="shared" si="0"/>
        <v>OK</v>
      </c>
      <c r="AF14" s="16">
        <f t="shared" si="1"/>
        <v>0</v>
      </c>
      <c r="AG14" s="16">
        <f t="shared" si="2"/>
        <v>1</v>
      </c>
    </row>
    <row r="15" spans="1:33" s="1" customFormat="1" x14ac:dyDescent="0.25">
      <c r="A15" s="1" t="s">
        <v>69</v>
      </c>
      <c r="B15" s="1" t="s">
        <v>195</v>
      </c>
      <c r="C15" s="1" t="s">
        <v>407</v>
      </c>
      <c r="D15" s="1" t="s">
        <v>52</v>
      </c>
      <c r="E15" s="1" t="s">
        <v>20</v>
      </c>
      <c r="H15" s="1" t="s">
        <v>68</v>
      </c>
      <c r="I15" s="1">
        <v>4220</v>
      </c>
      <c r="Q15" s="1" t="s">
        <v>53</v>
      </c>
      <c r="R15" s="1" t="s">
        <v>74</v>
      </c>
      <c r="S15" s="1" t="s">
        <v>448</v>
      </c>
      <c r="U15" s="1" t="s">
        <v>393</v>
      </c>
      <c r="AD15" s="1" t="s">
        <v>399</v>
      </c>
      <c r="AE15" s="1" t="str">
        <f t="shared" si="0"/>
        <v>OK</v>
      </c>
      <c r="AF15" s="1">
        <f t="shared" si="1"/>
        <v>0</v>
      </c>
      <c r="AG15" s="1">
        <f t="shared" si="2"/>
        <v>0</v>
      </c>
    </row>
    <row r="16" spans="1:33" s="1" customFormat="1" x14ac:dyDescent="0.25">
      <c r="A16" s="1" t="s">
        <v>72</v>
      </c>
      <c r="B16" s="1" t="s">
        <v>196</v>
      </c>
      <c r="C16" s="1" t="s">
        <v>407</v>
      </c>
      <c r="D16" s="1" t="s">
        <v>52</v>
      </c>
      <c r="E16" s="1" t="s">
        <v>21</v>
      </c>
      <c r="H16" s="1" t="s">
        <v>0</v>
      </c>
      <c r="I16" s="1" t="s">
        <v>70</v>
      </c>
      <c r="Q16" s="1" t="s">
        <v>53</v>
      </c>
      <c r="R16" s="1" t="s">
        <v>10</v>
      </c>
      <c r="S16" s="1" t="s">
        <v>448</v>
      </c>
      <c r="U16" s="1" t="s">
        <v>393</v>
      </c>
      <c r="AD16" s="1" t="s">
        <v>399</v>
      </c>
      <c r="AE16" s="1" t="str">
        <f t="shared" si="0"/>
        <v>OK</v>
      </c>
      <c r="AF16" s="1">
        <f t="shared" si="1"/>
        <v>0</v>
      </c>
      <c r="AG16" s="1">
        <f t="shared" si="2"/>
        <v>0</v>
      </c>
    </row>
    <row r="17" spans="1:33" s="1" customFormat="1" x14ac:dyDescent="0.25">
      <c r="A17" s="1" t="s">
        <v>72</v>
      </c>
      <c r="B17" s="1" t="s">
        <v>197</v>
      </c>
      <c r="C17" s="1" t="s">
        <v>407</v>
      </c>
      <c r="D17" s="1" t="s">
        <v>52</v>
      </c>
      <c r="E17" s="1" t="s">
        <v>22</v>
      </c>
      <c r="H17" s="1" t="s">
        <v>0</v>
      </c>
      <c r="I17" s="1" t="s">
        <v>71</v>
      </c>
      <c r="Q17" s="1" t="s">
        <v>53</v>
      </c>
      <c r="R17" s="1" t="s">
        <v>10</v>
      </c>
      <c r="S17" s="1" t="s">
        <v>448</v>
      </c>
      <c r="U17" s="1" t="s">
        <v>393</v>
      </c>
      <c r="AD17" s="1" t="s">
        <v>399</v>
      </c>
      <c r="AE17" s="1" t="str">
        <f t="shared" si="0"/>
        <v>OK</v>
      </c>
      <c r="AF17" s="1">
        <f t="shared" si="1"/>
        <v>0</v>
      </c>
      <c r="AG17" s="1">
        <f t="shared" si="2"/>
        <v>0</v>
      </c>
    </row>
    <row r="18" spans="1:33" s="1" customFormat="1" x14ac:dyDescent="0.25">
      <c r="A18" s="1" t="s">
        <v>72</v>
      </c>
      <c r="B18" s="1" t="s">
        <v>198</v>
      </c>
      <c r="C18" s="1" t="s">
        <v>407</v>
      </c>
      <c r="D18" s="1" t="s">
        <v>52</v>
      </c>
      <c r="E18" s="1" t="s">
        <v>22</v>
      </c>
      <c r="H18" s="1" t="s">
        <v>0</v>
      </c>
      <c r="I18" s="1" t="s">
        <v>71</v>
      </c>
      <c r="Q18" s="1" t="s">
        <v>53</v>
      </c>
      <c r="R18" s="1" t="s">
        <v>10</v>
      </c>
      <c r="S18" s="1" t="s">
        <v>448</v>
      </c>
      <c r="U18" s="1" t="s">
        <v>393</v>
      </c>
      <c r="AD18" s="1" t="s">
        <v>399</v>
      </c>
      <c r="AE18" s="1" t="str">
        <f t="shared" si="0"/>
        <v>OK</v>
      </c>
      <c r="AF18" s="1">
        <f t="shared" si="1"/>
        <v>0</v>
      </c>
      <c r="AG18" s="1">
        <f t="shared" si="2"/>
        <v>0</v>
      </c>
    </row>
    <row r="19" spans="1:33" s="1" customFormat="1" x14ac:dyDescent="0.25">
      <c r="A19" s="1" t="s">
        <v>79</v>
      </c>
      <c r="B19" s="1" t="s">
        <v>76</v>
      </c>
      <c r="C19" s="1" t="s">
        <v>408</v>
      </c>
      <c r="D19" s="1" t="s">
        <v>82</v>
      </c>
      <c r="E19" s="1" t="s">
        <v>78</v>
      </c>
      <c r="H19" s="1" t="s">
        <v>0</v>
      </c>
      <c r="I19" s="1" t="s">
        <v>75</v>
      </c>
      <c r="Q19" s="1" t="s">
        <v>53</v>
      </c>
      <c r="S19" s="1" t="s">
        <v>448</v>
      </c>
      <c r="U19" s="1" t="s">
        <v>393</v>
      </c>
      <c r="AD19" s="1" t="s">
        <v>400</v>
      </c>
      <c r="AE19" s="1" t="str">
        <f t="shared" si="0"/>
        <v>OK</v>
      </c>
      <c r="AF19" s="1">
        <f t="shared" si="1"/>
        <v>0</v>
      </c>
      <c r="AG19" s="1">
        <f t="shared" si="2"/>
        <v>0</v>
      </c>
    </row>
    <row r="20" spans="1:33" s="1" customFormat="1" x14ac:dyDescent="0.25">
      <c r="A20" s="1" t="s">
        <v>79</v>
      </c>
      <c r="B20" s="1" t="s">
        <v>77</v>
      </c>
      <c r="C20" s="1" t="s">
        <v>408</v>
      </c>
      <c r="D20" s="1" t="s">
        <v>82</v>
      </c>
      <c r="E20" s="1" t="s">
        <v>78</v>
      </c>
      <c r="H20" s="1" t="s">
        <v>0</v>
      </c>
      <c r="I20" s="1" t="s">
        <v>75</v>
      </c>
      <c r="Q20" s="1" t="s">
        <v>53</v>
      </c>
      <c r="S20" s="1" t="s">
        <v>448</v>
      </c>
      <c r="U20" s="1" t="s">
        <v>393</v>
      </c>
      <c r="AD20" s="1" t="s">
        <v>400</v>
      </c>
      <c r="AE20" s="1" t="str">
        <f t="shared" si="0"/>
        <v>OK</v>
      </c>
      <c r="AF20" s="1">
        <f t="shared" si="1"/>
        <v>0</v>
      </c>
      <c r="AG20" s="1">
        <f t="shared" si="2"/>
        <v>0</v>
      </c>
    </row>
    <row r="21" spans="1:33" x14ac:dyDescent="0.25">
      <c r="A21" s="16" t="s">
        <v>84</v>
      </c>
      <c r="B21" s="16" t="s">
        <v>83</v>
      </c>
      <c r="C21" s="16" t="s">
        <v>408</v>
      </c>
      <c r="D21" s="16" t="s">
        <v>82</v>
      </c>
      <c r="E21" s="16" t="s">
        <v>80</v>
      </c>
      <c r="H21" s="16" t="s">
        <v>8</v>
      </c>
      <c r="I21" s="16" t="s">
        <v>81</v>
      </c>
      <c r="L21" s="16" t="s">
        <v>422</v>
      </c>
      <c r="N21" s="16" t="s">
        <v>414</v>
      </c>
      <c r="Q21" s="16" t="s">
        <v>53</v>
      </c>
      <c r="S21" s="16" t="s">
        <v>448</v>
      </c>
      <c r="U21" s="16" t="s">
        <v>394</v>
      </c>
      <c r="X21" s="16" t="s">
        <v>452</v>
      </c>
      <c r="AD21" s="16" t="s">
        <v>400</v>
      </c>
      <c r="AE21" s="16" t="str">
        <f t="shared" si="0"/>
        <v>OK</v>
      </c>
      <c r="AF21" s="16">
        <f t="shared" si="1"/>
        <v>0</v>
      </c>
      <c r="AG21" s="16">
        <f t="shared" si="2"/>
        <v>1</v>
      </c>
    </row>
    <row r="22" spans="1:33" x14ac:dyDescent="0.25">
      <c r="A22" s="16" t="s">
        <v>90</v>
      </c>
      <c r="B22" s="16" t="s">
        <v>89</v>
      </c>
      <c r="C22" s="16" t="s">
        <v>408</v>
      </c>
      <c r="D22" s="16" t="s">
        <v>82</v>
      </c>
      <c r="E22" s="16" t="s">
        <v>87</v>
      </c>
      <c r="H22" s="16" t="s">
        <v>86</v>
      </c>
      <c r="I22" s="16" t="s">
        <v>85</v>
      </c>
      <c r="J22" s="16" t="s">
        <v>88</v>
      </c>
      <c r="N22" s="16" t="s">
        <v>415</v>
      </c>
      <c r="Q22" s="16" t="s">
        <v>53</v>
      </c>
      <c r="S22" s="16" t="s">
        <v>448</v>
      </c>
      <c r="U22" s="16" t="s">
        <v>394</v>
      </c>
      <c r="X22" s="16" t="s">
        <v>452</v>
      </c>
      <c r="AD22" s="16" t="s">
        <v>400</v>
      </c>
      <c r="AE22" s="16" t="str">
        <f t="shared" si="0"/>
        <v>OK</v>
      </c>
      <c r="AF22" s="16">
        <f t="shared" si="1"/>
        <v>0</v>
      </c>
      <c r="AG22" s="16">
        <f t="shared" si="2"/>
        <v>1</v>
      </c>
    </row>
    <row r="23" spans="1:33" s="1" customFormat="1" x14ac:dyDescent="0.25">
      <c r="A23" s="1" t="s">
        <v>1</v>
      </c>
      <c r="B23" s="1" t="s">
        <v>92</v>
      </c>
      <c r="C23" s="1" t="s">
        <v>408</v>
      </c>
      <c r="D23" s="1" t="s">
        <v>82</v>
      </c>
      <c r="E23" s="1" t="s">
        <v>105</v>
      </c>
      <c r="H23" s="1" t="s">
        <v>0</v>
      </c>
      <c r="I23" s="1" t="s">
        <v>91</v>
      </c>
      <c r="Q23" s="1" t="s">
        <v>53</v>
      </c>
      <c r="S23" s="1" t="s">
        <v>448</v>
      </c>
      <c r="U23" s="1" t="s">
        <v>393</v>
      </c>
      <c r="AD23" s="1" t="s">
        <v>400</v>
      </c>
      <c r="AE23" s="1" t="str">
        <f t="shared" si="0"/>
        <v>OK</v>
      </c>
      <c r="AF23" s="1">
        <f t="shared" si="1"/>
        <v>0</v>
      </c>
      <c r="AG23" s="1">
        <f t="shared" si="2"/>
        <v>0</v>
      </c>
    </row>
    <row r="24" spans="1:33" s="1" customFormat="1" x14ac:dyDescent="0.25">
      <c r="A24" s="1" t="s">
        <v>1</v>
      </c>
      <c r="B24" s="1" t="s">
        <v>93</v>
      </c>
      <c r="C24" s="1" t="s">
        <v>408</v>
      </c>
      <c r="D24" s="1" t="s">
        <v>82</v>
      </c>
      <c r="E24" s="1" t="s">
        <v>105</v>
      </c>
      <c r="H24" s="1" t="s">
        <v>0</v>
      </c>
      <c r="I24" s="1" t="s">
        <v>91</v>
      </c>
      <c r="Q24" s="1" t="s">
        <v>53</v>
      </c>
      <c r="S24" s="1" t="s">
        <v>448</v>
      </c>
      <c r="U24" s="1" t="s">
        <v>393</v>
      </c>
      <c r="AD24" s="1" t="s">
        <v>400</v>
      </c>
      <c r="AE24" s="1" t="str">
        <f t="shared" si="0"/>
        <v>OK</v>
      </c>
      <c r="AF24" s="1">
        <f t="shared" si="1"/>
        <v>0</v>
      </c>
      <c r="AG24" s="1">
        <f t="shared" si="2"/>
        <v>0</v>
      </c>
    </row>
    <row r="25" spans="1:33" s="1" customFormat="1" x14ac:dyDescent="0.25">
      <c r="A25" s="1" t="s">
        <v>1</v>
      </c>
      <c r="B25" s="1" t="s">
        <v>94</v>
      </c>
      <c r="C25" s="1" t="s">
        <v>408</v>
      </c>
      <c r="D25" s="1" t="s">
        <v>82</v>
      </c>
      <c r="E25" s="1" t="s">
        <v>105</v>
      </c>
      <c r="H25" s="1" t="s">
        <v>0</v>
      </c>
      <c r="I25" s="1" t="s">
        <v>91</v>
      </c>
      <c r="Q25" s="1" t="s">
        <v>53</v>
      </c>
      <c r="S25" s="1" t="s">
        <v>448</v>
      </c>
      <c r="U25" s="1" t="s">
        <v>393</v>
      </c>
      <c r="AD25" s="1" t="s">
        <v>400</v>
      </c>
      <c r="AE25" s="1" t="str">
        <f t="shared" si="0"/>
        <v>OK</v>
      </c>
      <c r="AF25" s="1">
        <f t="shared" si="1"/>
        <v>0</v>
      </c>
      <c r="AG25" s="1">
        <f t="shared" si="2"/>
        <v>0</v>
      </c>
    </row>
    <row r="26" spans="1:33" s="1" customFormat="1" x14ac:dyDescent="0.25">
      <c r="A26" s="1" t="s">
        <v>1</v>
      </c>
      <c r="B26" s="1" t="s">
        <v>95</v>
      </c>
      <c r="C26" s="1" t="s">
        <v>408</v>
      </c>
      <c r="D26" s="1" t="s">
        <v>82</v>
      </c>
      <c r="E26" s="1" t="s">
        <v>106</v>
      </c>
      <c r="H26" s="1" t="s">
        <v>0</v>
      </c>
      <c r="I26" s="1" t="s">
        <v>107</v>
      </c>
      <c r="Q26" s="1" t="s">
        <v>53</v>
      </c>
      <c r="S26" s="1" t="s">
        <v>448</v>
      </c>
      <c r="U26" s="1" t="s">
        <v>393</v>
      </c>
      <c r="AD26" s="1" t="s">
        <v>400</v>
      </c>
      <c r="AE26" s="1" t="str">
        <f t="shared" si="0"/>
        <v>OK</v>
      </c>
      <c r="AF26" s="1">
        <f t="shared" si="1"/>
        <v>0</v>
      </c>
      <c r="AG26" s="1">
        <f t="shared" si="2"/>
        <v>0</v>
      </c>
    </row>
    <row r="27" spans="1:33" s="1" customFormat="1" x14ac:dyDescent="0.25">
      <c r="A27" s="1" t="s">
        <v>1</v>
      </c>
      <c r="B27" s="1" t="s">
        <v>96</v>
      </c>
      <c r="C27" s="1" t="s">
        <v>408</v>
      </c>
      <c r="D27" s="1" t="s">
        <v>82</v>
      </c>
      <c r="E27" s="1" t="s">
        <v>106</v>
      </c>
      <c r="H27" s="1" t="s">
        <v>0</v>
      </c>
      <c r="I27" s="1" t="s">
        <v>107</v>
      </c>
      <c r="Q27" s="1" t="s">
        <v>53</v>
      </c>
      <c r="S27" s="1" t="s">
        <v>448</v>
      </c>
      <c r="U27" s="1" t="s">
        <v>393</v>
      </c>
      <c r="AD27" s="1" t="s">
        <v>400</v>
      </c>
      <c r="AE27" s="1" t="str">
        <f t="shared" si="0"/>
        <v>OK</v>
      </c>
      <c r="AF27" s="1">
        <f t="shared" si="1"/>
        <v>0</v>
      </c>
      <c r="AG27" s="1">
        <f t="shared" si="2"/>
        <v>0</v>
      </c>
    </row>
    <row r="28" spans="1:33" s="1" customFormat="1" x14ac:dyDescent="0.25">
      <c r="A28" s="1" t="s">
        <v>1</v>
      </c>
      <c r="B28" s="1" t="s">
        <v>97</v>
      </c>
      <c r="C28" s="1" t="s">
        <v>408</v>
      </c>
      <c r="D28" s="1" t="s">
        <v>82</v>
      </c>
      <c r="E28" s="1" t="s">
        <v>108</v>
      </c>
      <c r="H28" s="1" t="s">
        <v>0</v>
      </c>
      <c r="I28" s="1">
        <v>704</v>
      </c>
      <c r="Q28" s="1" t="s">
        <v>53</v>
      </c>
      <c r="S28" s="1" t="s">
        <v>448</v>
      </c>
      <c r="U28" s="1" t="s">
        <v>393</v>
      </c>
      <c r="AD28" s="1" t="s">
        <v>400</v>
      </c>
      <c r="AE28" s="1" t="str">
        <f t="shared" si="0"/>
        <v>OK</v>
      </c>
      <c r="AF28" s="1">
        <f t="shared" si="1"/>
        <v>0</v>
      </c>
      <c r="AG28" s="1">
        <f t="shared" si="2"/>
        <v>0</v>
      </c>
    </row>
    <row r="29" spans="1:33" s="1" customFormat="1" x14ac:dyDescent="0.25">
      <c r="A29" s="1" t="s">
        <v>1</v>
      </c>
      <c r="B29" s="1" t="s">
        <v>98</v>
      </c>
      <c r="C29" s="1" t="s">
        <v>408</v>
      </c>
      <c r="D29" s="1" t="s">
        <v>82</v>
      </c>
      <c r="E29" s="1" t="s">
        <v>108</v>
      </c>
      <c r="H29" s="1" t="s">
        <v>0</v>
      </c>
      <c r="I29" s="1">
        <v>704</v>
      </c>
      <c r="Q29" s="1" t="s">
        <v>53</v>
      </c>
      <c r="S29" s="1" t="s">
        <v>448</v>
      </c>
      <c r="U29" s="1" t="s">
        <v>393</v>
      </c>
      <c r="AD29" s="1" t="s">
        <v>400</v>
      </c>
      <c r="AE29" s="1" t="str">
        <f t="shared" si="0"/>
        <v>OK</v>
      </c>
      <c r="AF29" s="1">
        <f t="shared" si="1"/>
        <v>0</v>
      </c>
      <c r="AG29" s="1">
        <f t="shared" si="2"/>
        <v>0</v>
      </c>
    </row>
    <row r="30" spans="1:33" s="1" customFormat="1" x14ac:dyDescent="0.25">
      <c r="A30" s="1" t="s">
        <v>1</v>
      </c>
      <c r="B30" s="1" t="s">
        <v>99</v>
      </c>
      <c r="C30" s="1" t="s">
        <v>408</v>
      </c>
      <c r="D30" s="1" t="s">
        <v>82</v>
      </c>
      <c r="E30" s="1" t="s">
        <v>109</v>
      </c>
      <c r="H30" s="1" t="s">
        <v>0</v>
      </c>
      <c r="I30" s="1" t="s">
        <v>91</v>
      </c>
      <c r="Q30" s="1" t="s">
        <v>53</v>
      </c>
      <c r="S30" s="1" t="s">
        <v>448</v>
      </c>
      <c r="U30" s="1" t="s">
        <v>393</v>
      </c>
      <c r="AD30" s="1" t="s">
        <v>400</v>
      </c>
      <c r="AE30" s="1" t="str">
        <f t="shared" si="0"/>
        <v>OK</v>
      </c>
      <c r="AF30" s="1">
        <f t="shared" si="1"/>
        <v>0</v>
      </c>
      <c r="AG30" s="1">
        <f t="shared" si="2"/>
        <v>0</v>
      </c>
    </row>
    <row r="31" spans="1:33" s="1" customFormat="1" x14ac:dyDescent="0.25">
      <c r="A31" s="1" t="s">
        <v>1</v>
      </c>
      <c r="B31" s="1" t="s">
        <v>100</v>
      </c>
      <c r="C31" s="1" t="s">
        <v>408</v>
      </c>
      <c r="D31" s="1" t="s">
        <v>82</v>
      </c>
      <c r="E31" s="1" t="s">
        <v>109</v>
      </c>
      <c r="H31" s="1" t="s">
        <v>0</v>
      </c>
      <c r="I31" s="1" t="s">
        <v>91</v>
      </c>
      <c r="Q31" s="1" t="s">
        <v>53</v>
      </c>
      <c r="S31" s="1" t="s">
        <v>448</v>
      </c>
      <c r="U31" s="1" t="s">
        <v>393</v>
      </c>
      <c r="AD31" s="1" t="s">
        <v>400</v>
      </c>
      <c r="AE31" s="1" t="str">
        <f t="shared" si="0"/>
        <v>OK</v>
      </c>
      <c r="AF31" s="1">
        <f t="shared" si="1"/>
        <v>0</v>
      </c>
      <c r="AG31" s="1">
        <f t="shared" si="2"/>
        <v>0</v>
      </c>
    </row>
    <row r="32" spans="1:33" s="1" customFormat="1" x14ac:dyDescent="0.25">
      <c r="A32" s="1" t="s">
        <v>1</v>
      </c>
      <c r="B32" s="1" t="s">
        <v>101</v>
      </c>
      <c r="C32" s="1" t="s">
        <v>408</v>
      </c>
      <c r="D32" s="1" t="s">
        <v>82</v>
      </c>
      <c r="E32" s="1" t="s">
        <v>106</v>
      </c>
      <c r="H32" s="1" t="s">
        <v>0</v>
      </c>
      <c r="I32" s="1" t="s">
        <v>107</v>
      </c>
      <c r="Q32" s="1" t="s">
        <v>53</v>
      </c>
      <c r="S32" s="1" t="s">
        <v>448</v>
      </c>
      <c r="U32" s="1" t="s">
        <v>393</v>
      </c>
      <c r="AD32" s="1" t="s">
        <v>400</v>
      </c>
      <c r="AE32" s="1" t="str">
        <f t="shared" si="0"/>
        <v>OK</v>
      </c>
      <c r="AF32" s="1">
        <f t="shared" si="1"/>
        <v>0</v>
      </c>
      <c r="AG32" s="1">
        <f t="shared" si="2"/>
        <v>0</v>
      </c>
    </row>
    <row r="33" spans="1:33" s="1" customFormat="1" x14ac:dyDescent="0.25">
      <c r="A33" s="1" t="s">
        <v>1</v>
      </c>
      <c r="B33" s="1" t="s">
        <v>102</v>
      </c>
      <c r="C33" s="1" t="s">
        <v>408</v>
      </c>
      <c r="D33" s="1" t="s">
        <v>82</v>
      </c>
      <c r="E33" s="1" t="s">
        <v>109</v>
      </c>
      <c r="H33" s="1" t="s">
        <v>0</v>
      </c>
      <c r="I33" s="1" t="s">
        <v>91</v>
      </c>
      <c r="Q33" s="1" t="s">
        <v>53</v>
      </c>
      <c r="S33" s="1" t="s">
        <v>448</v>
      </c>
      <c r="U33" s="1" t="s">
        <v>393</v>
      </c>
      <c r="AD33" s="1" t="s">
        <v>400</v>
      </c>
      <c r="AE33" s="1" t="str">
        <f t="shared" si="0"/>
        <v>OK</v>
      </c>
      <c r="AF33" s="1">
        <f t="shared" si="1"/>
        <v>0</v>
      </c>
      <c r="AG33" s="1">
        <f t="shared" si="2"/>
        <v>0</v>
      </c>
    </row>
    <row r="34" spans="1:33" s="1" customFormat="1" x14ac:dyDescent="0.25">
      <c r="A34" s="1" t="s">
        <v>1</v>
      </c>
      <c r="B34" s="1" t="s">
        <v>103</v>
      </c>
      <c r="C34" s="1" t="s">
        <v>408</v>
      </c>
      <c r="D34" s="1" t="s">
        <v>82</v>
      </c>
      <c r="E34" s="1" t="s">
        <v>110</v>
      </c>
      <c r="H34" s="1" t="s">
        <v>0</v>
      </c>
      <c r="I34" s="1" t="s">
        <v>111</v>
      </c>
      <c r="Q34" s="1" t="s">
        <v>53</v>
      </c>
      <c r="S34" s="1" t="s">
        <v>448</v>
      </c>
      <c r="U34" s="1" t="s">
        <v>393</v>
      </c>
      <c r="AD34" s="1" t="s">
        <v>400</v>
      </c>
      <c r="AE34" s="1" t="str">
        <f t="shared" si="0"/>
        <v>OK</v>
      </c>
      <c r="AF34" s="1">
        <f t="shared" si="1"/>
        <v>0</v>
      </c>
      <c r="AG34" s="1">
        <f t="shared" si="2"/>
        <v>0</v>
      </c>
    </row>
    <row r="35" spans="1:33" s="1" customFormat="1" x14ac:dyDescent="0.25">
      <c r="A35" s="1" t="s">
        <v>1</v>
      </c>
      <c r="B35" s="1" t="s">
        <v>104</v>
      </c>
      <c r="C35" s="1" t="s">
        <v>408</v>
      </c>
      <c r="D35" s="1" t="s">
        <v>82</v>
      </c>
      <c r="E35" s="1" t="s">
        <v>110</v>
      </c>
      <c r="H35" s="1" t="s">
        <v>0</v>
      </c>
      <c r="I35" s="1" t="s">
        <v>111</v>
      </c>
      <c r="Q35" s="1" t="s">
        <v>53</v>
      </c>
      <c r="S35" s="1" t="s">
        <v>448</v>
      </c>
      <c r="U35" s="1" t="s">
        <v>393</v>
      </c>
      <c r="AD35" s="1" t="s">
        <v>400</v>
      </c>
      <c r="AE35" s="1" t="str">
        <f t="shared" si="0"/>
        <v>OK</v>
      </c>
      <c r="AF35" s="1">
        <f t="shared" si="1"/>
        <v>0</v>
      </c>
      <c r="AG35" s="1">
        <f t="shared" si="2"/>
        <v>0</v>
      </c>
    </row>
    <row r="36" spans="1:33" s="1" customFormat="1" x14ac:dyDescent="0.25">
      <c r="A36" s="1" t="s">
        <v>1</v>
      </c>
      <c r="B36" s="1" t="s">
        <v>412</v>
      </c>
      <c r="C36" s="1" t="s">
        <v>408</v>
      </c>
      <c r="D36" s="1" t="s">
        <v>82</v>
      </c>
      <c r="E36" s="1" t="s">
        <v>112</v>
      </c>
      <c r="H36" s="1" t="s">
        <v>0</v>
      </c>
      <c r="I36" s="1" t="s">
        <v>107</v>
      </c>
      <c r="Q36" s="1" t="s">
        <v>53</v>
      </c>
      <c r="S36" s="1" t="s">
        <v>448</v>
      </c>
      <c r="U36" s="1" t="s">
        <v>393</v>
      </c>
      <c r="AD36" s="1" t="s">
        <v>400</v>
      </c>
      <c r="AE36" s="1" t="str">
        <f t="shared" si="0"/>
        <v>OK</v>
      </c>
      <c r="AF36" s="1">
        <f t="shared" si="1"/>
        <v>0</v>
      </c>
      <c r="AG36" s="1">
        <f t="shared" si="2"/>
        <v>0</v>
      </c>
    </row>
    <row r="37" spans="1:33" s="1" customFormat="1" x14ac:dyDescent="0.25">
      <c r="A37" s="1" t="s">
        <v>9</v>
      </c>
      <c r="B37" s="1" t="s">
        <v>410</v>
      </c>
      <c r="C37" s="1" t="s">
        <v>408</v>
      </c>
      <c r="D37" s="1" t="s">
        <v>82</v>
      </c>
      <c r="E37" s="1" t="s">
        <v>164</v>
      </c>
      <c r="H37" s="1" t="s">
        <v>163</v>
      </c>
      <c r="I37" s="1" t="s">
        <v>162</v>
      </c>
      <c r="Q37" s="1" t="s">
        <v>53</v>
      </c>
      <c r="S37" s="1" t="s">
        <v>448</v>
      </c>
      <c r="U37" s="1" t="s">
        <v>393</v>
      </c>
      <c r="AD37" s="1" t="s">
        <v>400</v>
      </c>
      <c r="AE37" s="1" t="str">
        <f t="shared" si="0"/>
        <v>OK</v>
      </c>
      <c r="AF37" s="1">
        <f t="shared" si="1"/>
        <v>0</v>
      </c>
      <c r="AG37" s="1">
        <f t="shared" si="2"/>
        <v>0</v>
      </c>
    </row>
    <row r="38" spans="1:33" x14ac:dyDescent="0.25">
      <c r="A38" s="16" t="s">
        <v>117</v>
      </c>
      <c r="B38" s="16" t="s">
        <v>114</v>
      </c>
      <c r="C38" s="16" t="s">
        <v>408</v>
      </c>
      <c r="D38" s="16" t="s">
        <v>82</v>
      </c>
      <c r="E38" s="16" t="s">
        <v>113</v>
      </c>
      <c r="H38" s="16" t="s">
        <v>163</v>
      </c>
      <c r="I38" s="16" t="s">
        <v>116</v>
      </c>
      <c r="L38" s="16" t="s">
        <v>418</v>
      </c>
      <c r="M38" s="16" t="s">
        <v>417</v>
      </c>
      <c r="N38" s="16" t="s">
        <v>416</v>
      </c>
      <c r="Q38" s="16" t="s">
        <v>53</v>
      </c>
      <c r="S38" s="16" t="s">
        <v>448</v>
      </c>
      <c r="U38" s="16" t="s">
        <v>394</v>
      </c>
      <c r="X38" s="16" t="s">
        <v>452</v>
      </c>
      <c r="AD38" s="16" t="s">
        <v>400</v>
      </c>
      <c r="AE38" s="16" t="str">
        <f t="shared" si="0"/>
        <v>OK</v>
      </c>
      <c r="AF38" s="16">
        <f t="shared" si="1"/>
        <v>0</v>
      </c>
      <c r="AG38" s="16">
        <f t="shared" si="2"/>
        <v>1</v>
      </c>
    </row>
    <row r="39" spans="1:33" s="1" customFormat="1" x14ac:dyDescent="0.25">
      <c r="A39" s="1" t="s">
        <v>11</v>
      </c>
      <c r="B39" s="1" t="s">
        <v>411</v>
      </c>
      <c r="C39" s="1" t="s">
        <v>408</v>
      </c>
      <c r="D39" s="1" t="s">
        <v>82</v>
      </c>
      <c r="E39" s="1" t="s">
        <v>164</v>
      </c>
      <c r="H39" s="1" t="s">
        <v>163</v>
      </c>
      <c r="I39" s="1" t="s">
        <v>162</v>
      </c>
      <c r="Q39" s="1" t="s">
        <v>53</v>
      </c>
      <c r="S39" s="1" t="s">
        <v>448</v>
      </c>
      <c r="U39" s="1" t="s">
        <v>393</v>
      </c>
      <c r="AD39" s="1" t="s">
        <v>400</v>
      </c>
      <c r="AE39" s="1" t="str">
        <f t="shared" si="0"/>
        <v>OK</v>
      </c>
      <c r="AF39" s="1">
        <f t="shared" si="1"/>
        <v>0</v>
      </c>
      <c r="AG39" s="1">
        <f t="shared" si="2"/>
        <v>0</v>
      </c>
    </row>
    <row r="40" spans="1:33" s="1" customFormat="1" x14ac:dyDescent="0.25">
      <c r="A40" s="1" t="s">
        <v>13</v>
      </c>
      <c r="B40" s="1" t="s">
        <v>121</v>
      </c>
      <c r="C40" s="1" t="s">
        <v>408</v>
      </c>
      <c r="D40" s="1" t="s">
        <v>82</v>
      </c>
      <c r="E40" s="1" t="s">
        <v>118</v>
      </c>
      <c r="H40" s="1" t="s">
        <v>0</v>
      </c>
      <c r="I40" s="1" t="s">
        <v>119</v>
      </c>
      <c r="Q40" s="1" t="s">
        <v>53</v>
      </c>
      <c r="S40" s="1" t="s">
        <v>448</v>
      </c>
      <c r="U40" s="1" t="s">
        <v>393</v>
      </c>
      <c r="AD40" s="1" t="s">
        <v>400</v>
      </c>
      <c r="AE40" s="1" t="str">
        <f t="shared" si="0"/>
        <v>OK</v>
      </c>
      <c r="AF40" s="1">
        <f t="shared" si="1"/>
        <v>0</v>
      </c>
      <c r="AG40" s="1">
        <f t="shared" si="2"/>
        <v>0</v>
      </c>
    </row>
    <row r="41" spans="1:33" s="1" customFormat="1" x14ac:dyDescent="0.25">
      <c r="A41" s="1" t="s">
        <v>13</v>
      </c>
      <c r="B41" s="1" t="s">
        <v>120</v>
      </c>
      <c r="C41" s="1" t="s">
        <v>408</v>
      </c>
      <c r="D41" s="1" t="s">
        <v>82</v>
      </c>
      <c r="E41" s="1" t="s">
        <v>118</v>
      </c>
      <c r="H41" s="1" t="s">
        <v>0</v>
      </c>
      <c r="I41" s="1" t="s">
        <v>119</v>
      </c>
      <c r="Q41" s="1" t="s">
        <v>53</v>
      </c>
      <c r="S41" s="1" t="s">
        <v>448</v>
      </c>
      <c r="U41" s="1" t="s">
        <v>393</v>
      </c>
      <c r="AD41" s="1" t="s">
        <v>400</v>
      </c>
      <c r="AE41" s="1" t="str">
        <f t="shared" si="0"/>
        <v>OK</v>
      </c>
      <c r="AF41" s="1">
        <f t="shared" si="1"/>
        <v>0</v>
      </c>
      <c r="AG41" s="1">
        <f t="shared" si="2"/>
        <v>0</v>
      </c>
    </row>
    <row r="42" spans="1:33" s="1" customFormat="1" x14ac:dyDescent="0.25">
      <c r="A42" s="1" t="s">
        <v>15</v>
      </c>
      <c r="B42" s="1" t="s">
        <v>127</v>
      </c>
      <c r="C42" s="1" t="s">
        <v>408</v>
      </c>
      <c r="D42" s="1" t="s">
        <v>82</v>
      </c>
      <c r="E42" s="1" t="s">
        <v>122</v>
      </c>
      <c r="H42" s="1" t="s">
        <v>125</v>
      </c>
      <c r="I42" s="1" t="s">
        <v>126</v>
      </c>
      <c r="J42" s="1" t="s">
        <v>123</v>
      </c>
      <c r="Q42" s="1" t="s">
        <v>53</v>
      </c>
      <c r="S42" s="1" t="s">
        <v>448</v>
      </c>
      <c r="U42" s="1" t="s">
        <v>393</v>
      </c>
      <c r="AD42" s="1" t="s">
        <v>400</v>
      </c>
      <c r="AE42" s="1" t="str">
        <f t="shared" si="0"/>
        <v>OK</v>
      </c>
      <c r="AF42" s="1">
        <f t="shared" si="1"/>
        <v>0</v>
      </c>
      <c r="AG42" s="1">
        <f t="shared" si="2"/>
        <v>0</v>
      </c>
    </row>
    <row r="43" spans="1:33" s="1" customFormat="1" x14ac:dyDescent="0.25">
      <c r="A43" s="1" t="s">
        <v>15</v>
      </c>
      <c r="B43" s="1" t="s">
        <v>128</v>
      </c>
      <c r="C43" s="1" t="s">
        <v>408</v>
      </c>
      <c r="D43" s="1" t="s">
        <v>82</v>
      </c>
      <c r="E43" s="1" t="s">
        <v>122</v>
      </c>
      <c r="H43" s="1" t="s">
        <v>125</v>
      </c>
      <c r="I43" s="1" t="s">
        <v>126</v>
      </c>
      <c r="J43" s="1" t="s">
        <v>124</v>
      </c>
      <c r="Q43" s="1" t="s">
        <v>53</v>
      </c>
      <c r="S43" s="1" t="s">
        <v>448</v>
      </c>
      <c r="U43" s="1" t="s">
        <v>393</v>
      </c>
      <c r="AD43" s="1" t="s">
        <v>400</v>
      </c>
      <c r="AE43" s="1" t="str">
        <f t="shared" si="0"/>
        <v>OK</v>
      </c>
      <c r="AF43" s="1">
        <f t="shared" si="1"/>
        <v>0</v>
      </c>
      <c r="AG43" s="1">
        <f t="shared" si="2"/>
        <v>0</v>
      </c>
    </row>
    <row r="44" spans="1:33" x14ac:dyDescent="0.25">
      <c r="A44" s="16" t="s">
        <v>66</v>
      </c>
      <c r="B44" s="16" t="s">
        <v>130</v>
      </c>
      <c r="C44" s="16" t="s">
        <v>408</v>
      </c>
      <c r="D44" s="16" t="s">
        <v>82</v>
      </c>
      <c r="E44" s="16" t="s">
        <v>129</v>
      </c>
      <c r="H44" s="16" t="s">
        <v>0</v>
      </c>
      <c r="I44" s="16" t="s">
        <v>132</v>
      </c>
      <c r="L44" s="16" t="s">
        <v>421</v>
      </c>
      <c r="M44" s="16">
        <v>1</v>
      </c>
      <c r="N44" s="16" t="s">
        <v>420</v>
      </c>
      <c r="O44" s="16" t="s">
        <v>419</v>
      </c>
      <c r="Q44" s="16" t="s">
        <v>53</v>
      </c>
      <c r="S44" s="16" t="s">
        <v>448</v>
      </c>
      <c r="U44" s="16" t="s">
        <v>394</v>
      </c>
      <c r="X44" s="16" t="s">
        <v>453</v>
      </c>
      <c r="AD44" s="16" t="s">
        <v>400</v>
      </c>
      <c r="AE44" s="16" t="str">
        <f t="shared" si="0"/>
        <v>OK</v>
      </c>
      <c r="AF44" s="16">
        <f t="shared" si="1"/>
        <v>0</v>
      </c>
      <c r="AG44" s="16">
        <f t="shared" si="2"/>
        <v>1</v>
      </c>
    </row>
    <row r="45" spans="1:33" x14ac:dyDescent="0.25">
      <c r="A45" s="16" t="s">
        <v>66</v>
      </c>
      <c r="B45" s="16" t="s">
        <v>131</v>
      </c>
      <c r="C45" s="16" t="s">
        <v>408</v>
      </c>
      <c r="D45" s="16" t="s">
        <v>82</v>
      </c>
      <c r="E45" s="16" t="s">
        <v>129</v>
      </c>
      <c r="H45" s="16" t="s">
        <v>0</v>
      </c>
      <c r="I45" s="16" t="s">
        <v>132</v>
      </c>
      <c r="L45" s="16" t="s">
        <v>421</v>
      </c>
      <c r="M45" s="16">
        <v>1</v>
      </c>
      <c r="N45" s="16" t="s">
        <v>420</v>
      </c>
      <c r="O45" s="16" t="s">
        <v>419</v>
      </c>
      <c r="Q45" s="16" t="s">
        <v>53</v>
      </c>
      <c r="S45" s="16" t="s">
        <v>448</v>
      </c>
      <c r="U45" s="16" t="s">
        <v>394</v>
      </c>
      <c r="X45" s="16" t="s">
        <v>453</v>
      </c>
      <c r="AD45" s="16" t="s">
        <v>400</v>
      </c>
      <c r="AE45" s="16" t="str">
        <f t="shared" si="0"/>
        <v>OK</v>
      </c>
      <c r="AF45" s="16">
        <f t="shared" si="1"/>
        <v>0</v>
      </c>
      <c r="AG45" s="16">
        <f t="shared" si="2"/>
        <v>1</v>
      </c>
    </row>
    <row r="46" spans="1:33" s="1" customFormat="1" x14ac:dyDescent="0.25">
      <c r="A46" s="1" t="s">
        <v>427</v>
      </c>
      <c r="B46" s="1" t="s">
        <v>437</v>
      </c>
      <c r="C46" s="1" t="s">
        <v>408</v>
      </c>
      <c r="D46" s="1" t="s">
        <v>82</v>
      </c>
      <c r="E46" s="1" t="s">
        <v>433</v>
      </c>
      <c r="H46" s="1" t="s">
        <v>428</v>
      </c>
      <c r="I46" s="1" t="s">
        <v>438</v>
      </c>
      <c r="L46" s="1" t="s">
        <v>439</v>
      </c>
      <c r="Q46" s="1" t="s">
        <v>53</v>
      </c>
      <c r="S46" s="1" t="s">
        <v>448</v>
      </c>
      <c r="U46" s="1" t="s">
        <v>393</v>
      </c>
      <c r="AD46" s="1" t="s">
        <v>400</v>
      </c>
      <c r="AE46" s="1" t="str">
        <f t="shared" si="0"/>
        <v>OK</v>
      </c>
      <c r="AF46" s="1">
        <f t="shared" si="1"/>
        <v>0</v>
      </c>
      <c r="AG46" s="1">
        <f t="shared" si="2"/>
        <v>0</v>
      </c>
    </row>
    <row r="47" spans="1:33" s="1" customFormat="1" x14ac:dyDescent="0.25">
      <c r="A47" s="1" t="s">
        <v>79</v>
      </c>
      <c r="B47" s="1" t="s">
        <v>137</v>
      </c>
      <c r="C47" s="1" t="s">
        <v>408</v>
      </c>
      <c r="D47" s="1" t="s">
        <v>133</v>
      </c>
      <c r="E47" s="1" t="s">
        <v>134</v>
      </c>
      <c r="H47" s="1" t="s">
        <v>0</v>
      </c>
      <c r="I47" s="1" t="s">
        <v>75</v>
      </c>
      <c r="Q47" s="1" t="s">
        <v>53</v>
      </c>
      <c r="S47" s="1" t="s">
        <v>448</v>
      </c>
      <c r="U47" s="1" t="s">
        <v>393</v>
      </c>
      <c r="AD47" s="1" t="s">
        <v>401</v>
      </c>
      <c r="AE47" s="1" t="str">
        <f t="shared" si="0"/>
        <v>OK</v>
      </c>
      <c r="AF47" s="1">
        <f t="shared" si="1"/>
        <v>0</v>
      </c>
      <c r="AG47" s="1">
        <f t="shared" si="2"/>
        <v>0</v>
      </c>
    </row>
    <row r="48" spans="1:33" s="1" customFormat="1" x14ac:dyDescent="0.25">
      <c r="A48" s="1" t="s">
        <v>79</v>
      </c>
      <c r="B48" s="1" t="s">
        <v>138</v>
      </c>
      <c r="C48" s="1" t="s">
        <v>408</v>
      </c>
      <c r="D48" s="1" t="s">
        <v>133</v>
      </c>
      <c r="E48" s="1" t="s">
        <v>134</v>
      </c>
      <c r="H48" s="1" t="s">
        <v>0</v>
      </c>
      <c r="I48" s="1" t="s">
        <v>75</v>
      </c>
      <c r="Q48" s="1" t="s">
        <v>53</v>
      </c>
      <c r="S48" s="1" t="s">
        <v>448</v>
      </c>
      <c r="U48" s="1" t="s">
        <v>393</v>
      </c>
      <c r="AD48" s="1" t="s">
        <v>401</v>
      </c>
      <c r="AE48" s="1" t="str">
        <f t="shared" si="0"/>
        <v>OK</v>
      </c>
      <c r="AF48" s="1">
        <f t="shared" si="1"/>
        <v>0</v>
      </c>
      <c r="AG48" s="1">
        <f t="shared" si="2"/>
        <v>0</v>
      </c>
    </row>
    <row r="49" spans="1:33" x14ac:dyDescent="0.25">
      <c r="A49" s="16" t="s">
        <v>84</v>
      </c>
      <c r="B49" s="16" t="s">
        <v>139</v>
      </c>
      <c r="C49" s="16" t="s">
        <v>408</v>
      </c>
      <c r="D49" s="16" t="s">
        <v>133</v>
      </c>
      <c r="E49" s="16" t="s">
        <v>80</v>
      </c>
      <c r="H49" s="16" t="s">
        <v>8</v>
      </c>
      <c r="I49" s="16" t="s">
        <v>81</v>
      </c>
      <c r="M49" s="16" t="s">
        <v>422</v>
      </c>
      <c r="N49" s="16" t="s">
        <v>414</v>
      </c>
      <c r="Q49" s="16" t="s">
        <v>53</v>
      </c>
      <c r="S49" s="16" t="s">
        <v>448</v>
      </c>
      <c r="U49" s="16" t="s">
        <v>394</v>
      </c>
      <c r="X49" s="16" t="s">
        <v>452</v>
      </c>
      <c r="AD49" s="16" t="s">
        <v>401</v>
      </c>
      <c r="AE49" s="16" t="str">
        <f t="shared" si="0"/>
        <v>OK</v>
      </c>
      <c r="AF49" s="16">
        <f t="shared" si="1"/>
        <v>0</v>
      </c>
      <c r="AG49" s="16">
        <f t="shared" si="2"/>
        <v>1</v>
      </c>
    </row>
    <row r="50" spans="1:33" x14ac:dyDescent="0.25">
      <c r="A50" s="16" t="s">
        <v>90</v>
      </c>
      <c r="B50" s="16" t="s">
        <v>140</v>
      </c>
      <c r="C50" s="16" t="s">
        <v>408</v>
      </c>
      <c r="D50" s="16" t="s">
        <v>133</v>
      </c>
      <c r="E50" s="16" t="s">
        <v>135</v>
      </c>
      <c r="H50" s="16" t="s">
        <v>86</v>
      </c>
      <c r="I50" s="16" t="s">
        <v>85</v>
      </c>
      <c r="J50" s="16" t="s">
        <v>88</v>
      </c>
      <c r="N50" s="16" t="s">
        <v>415</v>
      </c>
      <c r="Q50" s="16" t="s">
        <v>53</v>
      </c>
      <c r="S50" s="16" t="s">
        <v>448</v>
      </c>
      <c r="U50" s="16" t="s">
        <v>394</v>
      </c>
      <c r="X50" s="16" t="s">
        <v>452</v>
      </c>
      <c r="AD50" s="16" t="s">
        <v>401</v>
      </c>
      <c r="AE50" s="16" t="str">
        <f t="shared" si="0"/>
        <v>OK</v>
      </c>
      <c r="AF50" s="16">
        <f t="shared" si="1"/>
        <v>0</v>
      </c>
      <c r="AG50" s="16">
        <f t="shared" si="2"/>
        <v>1</v>
      </c>
    </row>
    <row r="51" spans="1:33" s="1" customFormat="1" x14ac:dyDescent="0.25">
      <c r="A51" s="1" t="s">
        <v>1</v>
      </c>
      <c r="B51" s="1" t="s">
        <v>141</v>
      </c>
      <c r="C51" s="1" t="s">
        <v>408</v>
      </c>
      <c r="D51" s="1" t="s">
        <v>133</v>
      </c>
      <c r="E51" s="1" t="s">
        <v>136</v>
      </c>
      <c r="H51" s="1" t="s">
        <v>0</v>
      </c>
      <c r="I51" s="1" t="s">
        <v>91</v>
      </c>
      <c r="Q51" s="1" t="s">
        <v>53</v>
      </c>
      <c r="S51" s="1" t="s">
        <v>448</v>
      </c>
      <c r="U51" s="1" t="s">
        <v>393</v>
      </c>
      <c r="AD51" s="1" t="s">
        <v>401</v>
      </c>
      <c r="AE51" s="1" t="str">
        <f t="shared" si="0"/>
        <v>OK</v>
      </c>
      <c r="AF51" s="1">
        <f t="shared" si="1"/>
        <v>0</v>
      </c>
      <c r="AG51" s="1">
        <f t="shared" si="2"/>
        <v>0</v>
      </c>
    </row>
    <row r="52" spans="1:33" s="1" customFormat="1" x14ac:dyDescent="0.25">
      <c r="A52" s="1" t="s">
        <v>1</v>
      </c>
      <c r="B52" s="1" t="s">
        <v>142</v>
      </c>
      <c r="C52" s="1" t="s">
        <v>408</v>
      </c>
      <c r="D52" s="1" t="s">
        <v>133</v>
      </c>
      <c r="E52" s="1" t="s">
        <v>136</v>
      </c>
      <c r="H52" s="1" t="s">
        <v>0</v>
      </c>
      <c r="I52" s="1" t="s">
        <v>91</v>
      </c>
      <c r="Q52" s="1" t="s">
        <v>53</v>
      </c>
      <c r="S52" s="1" t="s">
        <v>448</v>
      </c>
      <c r="U52" s="1" t="s">
        <v>393</v>
      </c>
      <c r="AD52" s="1" t="s">
        <v>401</v>
      </c>
      <c r="AE52" s="1" t="str">
        <f t="shared" si="0"/>
        <v>OK</v>
      </c>
      <c r="AF52" s="1">
        <f t="shared" si="1"/>
        <v>0</v>
      </c>
      <c r="AG52" s="1">
        <f t="shared" si="2"/>
        <v>0</v>
      </c>
    </row>
    <row r="53" spans="1:33" s="1" customFormat="1" x14ac:dyDescent="0.25">
      <c r="A53" s="1" t="s">
        <v>1</v>
      </c>
      <c r="B53" s="1" t="s">
        <v>143</v>
      </c>
      <c r="C53" s="1" t="s">
        <v>408</v>
      </c>
      <c r="D53" s="1" t="s">
        <v>133</v>
      </c>
      <c r="E53" s="1" t="s">
        <v>136</v>
      </c>
      <c r="H53" s="1" t="s">
        <v>0</v>
      </c>
      <c r="I53" s="1" t="s">
        <v>91</v>
      </c>
      <c r="Q53" s="1" t="s">
        <v>53</v>
      </c>
      <c r="S53" s="1" t="s">
        <v>448</v>
      </c>
      <c r="U53" s="1" t="s">
        <v>393</v>
      </c>
      <c r="AD53" s="1" t="s">
        <v>401</v>
      </c>
      <c r="AE53" s="1" t="str">
        <f t="shared" si="0"/>
        <v>OK</v>
      </c>
      <c r="AF53" s="1">
        <f t="shared" si="1"/>
        <v>0</v>
      </c>
      <c r="AG53" s="1">
        <f t="shared" si="2"/>
        <v>0</v>
      </c>
    </row>
    <row r="54" spans="1:33" s="1" customFormat="1" x14ac:dyDescent="0.25">
      <c r="A54" s="1" t="s">
        <v>1</v>
      </c>
      <c r="B54" s="1" t="s">
        <v>144</v>
      </c>
      <c r="C54" s="1" t="s">
        <v>408</v>
      </c>
      <c r="D54" s="1" t="s">
        <v>133</v>
      </c>
      <c r="E54" s="1" t="s">
        <v>106</v>
      </c>
      <c r="H54" s="1" t="s">
        <v>0</v>
      </c>
      <c r="I54" s="1" t="s">
        <v>107</v>
      </c>
      <c r="Q54" s="1" t="s">
        <v>53</v>
      </c>
      <c r="S54" s="1" t="s">
        <v>448</v>
      </c>
      <c r="U54" s="1" t="s">
        <v>393</v>
      </c>
      <c r="AD54" s="1" t="s">
        <v>401</v>
      </c>
      <c r="AE54" s="1" t="str">
        <f t="shared" si="0"/>
        <v>OK</v>
      </c>
      <c r="AF54" s="1">
        <f t="shared" si="1"/>
        <v>0</v>
      </c>
      <c r="AG54" s="1">
        <f t="shared" si="2"/>
        <v>0</v>
      </c>
    </row>
    <row r="55" spans="1:33" s="1" customFormat="1" x14ac:dyDescent="0.25">
      <c r="A55" s="1" t="s">
        <v>1</v>
      </c>
      <c r="B55" s="1" t="s">
        <v>145</v>
      </c>
      <c r="C55" s="1" t="s">
        <v>408</v>
      </c>
      <c r="D55" s="1" t="s">
        <v>133</v>
      </c>
      <c r="E55" s="1" t="s">
        <v>106</v>
      </c>
      <c r="H55" s="1" t="s">
        <v>0</v>
      </c>
      <c r="I55" s="1" t="s">
        <v>107</v>
      </c>
      <c r="Q55" s="1" t="s">
        <v>53</v>
      </c>
      <c r="S55" s="1" t="s">
        <v>448</v>
      </c>
      <c r="U55" s="1" t="s">
        <v>393</v>
      </c>
      <c r="AD55" s="1" t="s">
        <v>401</v>
      </c>
      <c r="AE55" s="1" t="str">
        <f t="shared" si="0"/>
        <v>OK</v>
      </c>
      <c r="AF55" s="1">
        <f t="shared" si="1"/>
        <v>0</v>
      </c>
      <c r="AG55" s="1">
        <f t="shared" si="2"/>
        <v>0</v>
      </c>
    </row>
    <row r="56" spans="1:33" s="1" customFormat="1" x14ac:dyDescent="0.25">
      <c r="A56" s="1" t="s">
        <v>1</v>
      </c>
      <c r="B56" s="1" t="s">
        <v>146</v>
      </c>
      <c r="C56" s="1" t="s">
        <v>408</v>
      </c>
      <c r="D56" s="1" t="s">
        <v>133</v>
      </c>
      <c r="E56" s="1" t="s">
        <v>108</v>
      </c>
      <c r="H56" s="1" t="s">
        <v>0</v>
      </c>
      <c r="I56" s="1">
        <v>704</v>
      </c>
      <c r="Q56" s="1" t="s">
        <v>53</v>
      </c>
      <c r="S56" s="1" t="s">
        <v>448</v>
      </c>
      <c r="U56" s="1" t="s">
        <v>393</v>
      </c>
      <c r="AD56" s="1" t="s">
        <v>401</v>
      </c>
      <c r="AE56" s="1" t="str">
        <f t="shared" si="0"/>
        <v>OK</v>
      </c>
      <c r="AF56" s="1">
        <f t="shared" si="1"/>
        <v>0</v>
      </c>
      <c r="AG56" s="1">
        <f t="shared" si="2"/>
        <v>0</v>
      </c>
    </row>
    <row r="57" spans="1:33" s="1" customFormat="1" x14ac:dyDescent="0.25">
      <c r="A57" s="1" t="s">
        <v>1</v>
      </c>
      <c r="B57" s="1" t="s">
        <v>147</v>
      </c>
      <c r="C57" s="1" t="s">
        <v>408</v>
      </c>
      <c r="D57" s="1" t="s">
        <v>133</v>
      </c>
      <c r="E57" s="1" t="s">
        <v>108</v>
      </c>
      <c r="H57" s="1" t="s">
        <v>0</v>
      </c>
      <c r="I57" s="1" t="s">
        <v>107</v>
      </c>
      <c r="Q57" s="1" t="s">
        <v>53</v>
      </c>
      <c r="S57" s="1" t="s">
        <v>448</v>
      </c>
      <c r="U57" s="1" t="s">
        <v>393</v>
      </c>
      <c r="AD57" s="1" t="s">
        <v>401</v>
      </c>
      <c r="AE57" s="1" t="str">
        <f t="shared" si="0"/>
        <v>OK</v>
      </c>
      <c r="AF57" s="1">
        <f t="shared" si="1"/>
        <v>0</v>
      </c>
      <c r="AG57" s="1">
        <f t="shared" si="2"/>
        <v>0</v>
      </c>
    </row>
    <row r="58" spans="1:33" s="1" customFormat="1" x14ac:dyDescent="0.25">
      <c r="A58" s="1" t="s">
        <v>1</v>
      </c>
      <c r="B58" s="1" t="s">
        <v>148</v>
      </c>
      <c r="C58" s="1" t="s">
        <v>408</v>
      </c>
      <c r="D58" s="1" t="s">
        <v>133</v>
      </c>
      <c r="E58" s="1" t="s">
        <v>109</v>
      </c>
      <c r="H58" s="1" t="s">
        <v>0</v>
      </c>
      <c r="I58" s="1" t="s">
        <v>91</v>
      </c>
      <c r="Q58" s="1" t="s">
        <v>53</v>
      </c>
      <c r="S58" s="1" t="s">
        <v>448</v>
      </c>
      <c r="U58" s="1" t="s">
        <v>393</v>
      </c>
      <c r="AD58" s="1" t="s">
        <v>401</v>
      </c>
      <c r="AE58" s="1" t="str">
        <f t="shared" si="0"/>
        <v>OK</v>
      </c>
      <c r="AF58" s="1">
        <f t="shared" si="1"/>
        <v>0</v>
      </c>
      <c r="AG58" s="1">
        <f t="shared" si="2"/>
        <v>0</v>
      </c>
    </row>
    <row r="59" spans="1:33" s="1" customFormat="1" x14ac:dyDescent="0.25">
      <c r="A59" s="1" t="s">
        <v>1</v>
      </c>
      <c r="B59" s="1" t="s">
        <v>149</v>
      </c>
      <c r="C59" s="1" t="s">
        <v>408</v>
      </c>
      <c r="D59" s="1" t="s">
        <v>133</v>
      </c>
      <c r="E59" s="1" t="s">
        <v>109</v>
      </c>
      <c r="H59" s="1" t="s">
        <v>0</v>
      </c>
      <c r="I59" s="1" t="s">
        <v>91</v>
      </c>
      <c r="Q59" s="1" t="s">
        <v>53</v>
      </c>
      <c r="S59" s="1" t="s">
        <v>448</v>
      </c>
      <c r="U59" s="1" t="s">
        <v>393</v>
      </c>
      <c r="AD59" s="1" t="s">
        <v>401</v>
      </c>
      <c r="AE59" s="1" t="str">
        <f t="shared" si="0"/>
        <v>OK</v>
      </c>
      <c r="AF59" s="1">
        <f t="shared" si="1"/>
        <v>0</v>
      </c>
      <c r="AG59" s="1">
        <f t="shared" si="2"/>
        <v>0</v>
      </c>
    </row>
    <row r="60" spans="1:33" s="1" customFormat="1" x14ac:dyDescent="0.25">
      <c r="A60" s="1" t="s">
        <v>1</v>
      </c>
      <c r="B60" s="1" t="s">
        <v>150</v>
      </c>
      <c r="C60" s="1" t="s">
        <v>408</v>
      </c>
      <c r="D60" s="1" t="s">
        <v>133</v>
      </c>
      <c r="E60" s="1" t="s">
        <v>106</v>
      </c>
      <c r="H60" s="1" t="s">
        <v>0</v>
      </c>
      <c r="I60" s="1" t="s">
        <v>107</v>
      </c>
      <c r="Q60" s="1" t="s">
        <v>53</v>
      </c>
      <c r="S60" s="1" t="s">
        <v>448</v>
      </c>
      <c r="U60" s="1" t="s">
        <v>393</v>
      </c>
      <c r="AD60" s="1" t="s">
        <v>401</v>
      </c>
      <c r="AE60" s="1" t="str">
        <f t="shared" si="0"/>
        <v>OK</v>
      </c>
      <c r="AF60" s="1">
        <f t="shared" si="1"/>
        <v>0</v>
      </c>
      <c r="AG60" s="1">
        <f t="shared" si="2"/>
        <v>0</v>
      </c>
    </row>
    <row r="61" spans="1:33" s="1" customFormat="1" x14ac:dyDescent="0.25">
      <c r="A61" s="1" t="s">
        <v>1</v>
      </c>
      <c r="B61" s="1" t="s">
        <v>151</v>
      </c>
      <c r="C61" s="1" t="s">
        <v>408</v>
      </c>
      <c r="D61" s="1" t="s">
        <v>133</v>
      </c>
      <c r="E61" s="1" t="s">
        <v>110</v>
      </c>
      <c r="H61" s="1" t="s">
        <v>0</v>
      </c>
      <c r="I61" s="1" t="s">
        <v>111</v>
      </c>
      <c r="Q61" s="1" t="s">
        <v>53</v>
      </c>
      <c r="S61" s="1" t="s">
        <v>448</v>
      </c>
      <c r="U61" s="1" t="s">
        <v>393</v>
      </c>
      <c r="AD61" s="1" t="s">
        <v>401</v>
      </c>
      <c r="AE61" s="1" t="str">
        <f t="shared" si="0"/>
        <v>OK</v>
      </c>
      <c r="AF61" s="1">
        <f t="shared" si="1"/>
        <v>0</v>
      </c>
      <c r="AG61" s="1">
        <f t="shared" si="2"/>
        <v>0</v>
      </c>
    </row>
    <row r="62" spans="1:33" s="1" customFormat="1" x14ac:dyDescent="0.25">
      <c r="A62" s="1" t="s">
        <v>1</v>
      </c>
      <c r="B62" s="1" t="s">
        <v>152</v>
      </c>
      <c r="C62" s="1" t="s">
        <v>408</v>
      </c>
      <c r="D62" s="1" t="s">
        <v>133</v>
      </c>
      <c r="E62" s="1" t="s">
        <v>110</v>
      </c>
      <c r="H62" s="1" t="s">
        <v>0</v>
      </c>
      <c r="I62" s="1" t="s">
        <v>111</v>
      </c>
      <c r="Q62" s="1" t="s">
        <v>53</v>
      </c>
      <c r="S62" s="1" t="s">
        <v>448</v>
      </c>
      <c r="U62" s="1" t="s">
        <v>393</v>
      </c>
      <c r="AD62" s="1" t="s">
        <v>401</v>
      </c>
      <c r="AE62" s="1" t="str">
        <f t="shared" si="0"/>
        <v>OK</v>
      </c>
      <c r="AF62" s="1">
        <f t="shared" si="1"/>
        <v>0</v>
      </c>
      <c r="AG62" s="1">
        <f t="shared" si="2"/>
        <v>0</v>
      </c>
    </row>
    <row r="63" spans="1:33" s="1" customFormat="1" x14ac:dyDescent="0.25">
      <c r="A63" s="1" t="s">
        <v>1</v>
      </c>
      <c r="B63" s="1" t="s">
        <v>153</v>
      </c>
      <c r="C63" s="1" t="s">
        <v>408</v>
      </c>
      <c r="D63" s="1" t="s">
        <v>133</v>
      </c>
      <c r="E63" s="1" t="s">
        <v>112</v>
      </c>
      <c r="H63" s="1" t="s">
        <v>0</v>
      </c>
      <c r="I63" s="1" t="s">
        <v>107</v>
      </c>
      <c r="Q63" s="1" t="s">
        <v>53</v>
      </c>
      <c r="S63" s="1" t="s">
        <v>448</v>
      </c>
      <c r="U63" s="1" t="s">
        <v>393</v>
      </c>
      <c r="AD63" s="1" t="s">
        <v>401</v>
      </c>
      <c r="AE63" s="1" t="str">
        <f t="shared" si="0"/>
        <v>OK</v>
      </c>
      <c r="AF63" s="1">
        <f t="shared" si="1"/>
        <v>0</v>
      </c>
      <c r="AG63" s="1">
        <f t="shared" si="2"/>
        <v>0</v>
      </c>
    </row>
    <row r="64" spans="1:33" s="1" customFormat="1" x14ac:dyDescent="0.25">
      <c r="A64" s="1" t="s">
        <v>1</v>
      </c>
      <c r="B64" s="1" t="s">
        <v>154</v>
      </c>
      <c r="C64" s="1" t="s">
        <v>408</v>
      </c>
      <c r="D64" s="1" t="s">
        <v>133</v>
      </c>
      <c r="E64" s="1" t="s">
        <v>109</v>
      </c>
      <c r="H64" s="1" t="s">
        <v>0</v>
      </c>
      <c r="I64" s="1" t="s">
        <v>91</v>
      </c>
      <c r="Q64" s="1" t="s">
        <v>53</v>
      </c>
      <c r="S64" s="1" t="s">
        <v>448</v>
      </c>
      <c r="U64" s="1" t="s">
        <v>393</v>
      </c>
      <c r="AD64" s="1" t="s">
        <v>401</v>
      </c>
      <c r="AE64" s="1" t="str">
        <f t="shared" si="0"/>
        <v>OK</v>
      </c>
      <c r="AF64" s="1">
        <f t="shared" si="1"/>
        <v>0</v>
      </c>
      <c r="AG64" s="1">
        <f t="shared" si="2"/>
        <v>0</v>
      </c>
    </row>
    <row r="65" spans="1:33" s="1" customFormat="1" x14ac:dyDescent="0.25">
      <c r="A65" s="1" t="s">
        <v>1</v>
      </c>
      <c r="B65" s="1" t="s">
        <v>155</v>
      </c>
      <c r="C65" s="1" t="s">
        <v>408</v>
      </c>
      <c r="D65" s="1" t="s">
        <v>133</v>
      </c>
      <c r="E65" s="1" t="s">
        <v>106</v>
      </c>
      <c r="H65" s="1" t="s">
        <v>0</v>
      </c>
      <c r="I65" s="1" t="s">
        <v>107</v>
      </c>
      <c r="Q65" s="1" t="s">
        <v>53</v>
      </c>
      <c r="S65" s="1" t="s">
        <v>448</v>
      </c>
      <c r="U65" s="1" t="s">
        <v>393</v>
      </c>
      <c r="AD65" s="1" t="s">
        <v>401</v>
      </c>
      <c r="AE65" s="1" t="str">
        <f t="shared" si="0"/>
        <v>OK</v>
      </c>
      <c r="AF65" s="1">
        <f t="shared" si="1"/>
        <v>0</v>
      </c>
      <c r="AG65" s="1">
        <f t="shared" si="2"/>
        <v>0</v>
      </c>
    </row>
    <row r="66" spans="1:33" x14ac:dyDescent="0.25">
      <c r="A66" s="16" t="s">
        <v>117</v>
      </c>
      <c r="B66" s="16" t="s">
        <v>157</v>
      </c>
      <c r="C66" s="16" t="s">
        <v>408</v>
      </c>
      <c r="D66" s="16" t="s">
        <v>133</v>
      </c>
      <c r="E66" s="16" t="s">
        <v>113</v>
      </c>
      <c r="H66" s="16" t="s">
        <v>115</v>
      </c>
      <c r="I66" s="16" t="s">
        <v>156</v>
      </c>
      <c r="L66" s="16" t="s">
        <v>418</v>
      </c>
      <c r="M66" s="16" t="s">
        <v>417</v>
      </c>
      <c r="N66" s="16" t="s">
        <v>416</v>
      </c>
      <c r="Q66" s="16" t="s">
        <v>53</v>
      </c>
      <c r="S66" s="16" t="s">
        <v>448</v>
      </c>
      <c r="U66" s="16" t="s">
        <v>394</v>
      </c>
      <c r="X66" s="16" t="s">
        <v>452</v>
      </c>
      <c r="AD66" s="16" t="s">
        <v>401</v>
      </c>
      <c r="AE66" s="16" t="str">
        <f t="shared" ref="AE66:AE129" si="3">IF(TRIM(B66)="","PENDENTE","OK")</f>
        <v>OK</v>
      </c>
      <c r="AF66" s="16">
        <f t="shared" ref="AF66:AF129" si="4">IF(AE66="PENDENTE",1,0)</f>
        <v>0</v>
      </c>
      <c r="AG66" s="16">
        <f t="shared" ref="AG66:AG129" si="5">IF(LEFT(UPPER(TRIM(U66)),3)="SIM",1,0)</f>
        <v>1</v>
      </c>
    </row>
    <row r="67" spans="1:33" s="1" customFormat="1" x14ac:dyDescent="0.25">
      <c r="A67" s="1" t="s">
        <v>159</v>
      </c>
      <c r="B67" s="1" t="s">
        <v>161</v>
      </c>
      <c r="C67" s="1" t="s">
        <v>408</v>
      </c>
      <c r="D67" s="1" t="s">
        <v>133</v>
      </c>
      <c r="E67" s="1" t="s">
        <v>158</v>
      </c>
      <c r="H67" s="1" t="s">
        <v>86</v>
      </c>
      <c r="I67" s="1" t="s">
        <v>160</v>
      </c>
      <c r="Q67" s="1" t="s">
        <v>53</v>
      </c>
      <c r="S67" s="1" t="s">
        <v>448</v>
      </c>
      <c r="U67" s="1" t="s">
        <v>393</v>
      </c>
      <c r="AD67" s="1" t="s">
        <v>401</v>
      </c>
      <c r="AE67" s="1" t="str">
        <f t="shared" si="3"/>
        <v>OK</v>
      </c>
      <c r="AF67" s="1">
        <f t="shared" si="4"/>
        <v>0</v>
      </c>
      <c r="AG67" s="1">
        <f t="shared" si="5"/>
        <v>0</v>
      </c>
    </row>
    <row r="68" spans="1:33" s="1" customFormat="1" x14ac:dyDescent="0.25">
      <c r="A68" s="1" t="s">
        <v>165</v>
      </c>
      <c r="B68" s="1" t="s">
        <v>167</v>
      </c>
      <c r="C68" s="1" t="s">
        <v>408</v>
      </c>
      <c r="D68" s="1" t="s">
        <v>133</v>
      </c>
      <c r="E68" s="1" t="s">
        <v>164</v>
      </c>
      <c r="H68" s="1" t="s">
        <v>163</v>
      </c>
      <c r="I68" s="1" t="s">
        <v>162</v>
      </c>
      <c r="Q68" s="1" t="s">
        <v>53</v>
      </c>
      <c r="S68" s="1" t="s">
        <v>448</v>
      </c>
      <c r="U68" s="1" t="s">
        <v>393</v>
      </c>
      <c r="AD68" s="1" t="s">
        <v>401</v>
      </c>
      <c r="AE68" s="1" t="str">
        <f t="shared" si="3"/>
        <v>OK</v>
      </c>
      <c r="AF68" s="1">
        <f t="shared" si="4"/>
        <v>0</v>
      </c>
      <c r="AG68" s="1">
        <f t="shared" si="5"/>
        <v>0</v>
      </c>
    </row>
    <row r="69" spans="1:33" s="1" customFormat="1" x14ac:dyDescent="0.25">
      <c r="A69" s="1" t="s">
        <v>9</v>
      </c>
      <c r="B69" s="1" t="s">
        <v>168</v>
      </c>
      <c r="C69" s="1" t="s">
        <v>408</v>
      </c>
      <c r="D69" s="1" t="s">
        <v>133</v>
      </c>
      <c r="E69" s="1" t="s">
        <v>164</v>
      </c>
      <c r="H69" s="1" t="s">
        <v>163</v>
      </c>
      <c r="I69" s="1" t="s">
        <v>162</v>
      </c>
      <c r="Q69" s="1" t="s">
        <v>53</v>
      </c>
      <c r="S69" s="1" t="s">
        <v>448</v>
      </c>
      <c r="U69" s="1" t="s">
        <v>393</v>
      </c>
      <c r="AD69" s="1" t="s">
        <v>401</v>
      </c>
      <c r="AE69" s="1" t="str">
        <f t="shared" si="3"/>
        <v>OK</v>
      </c>
      <c r="AF69" s="1">
        <f t="shared" si="4"/>
        <v>0</v>
      </c>
      <c r="AG69" s="1">
        <f t="shared" si="5"/>
        <v>0</v>
      </c>
    </row>
    <row r="70" spans="1:33" s="1" customFormat="1" x14ac:dyDescent="0.25">
      <c r="A70" s="1" t="s">
        <v>166</v>
      </c>
      <c r="B70" s="1" t="s">
        <v>169</v>
      </c>
      <c r="C70" s="1" t="s">
        <v>408</v>
      </c>
      <c r="D70" s="1" t="s">
        <v>133</v>
      </c>
      <c r="E70" s="1" t="s">
        <v>164</v>
      </c>
      <c r="H70" s="1" t="s">
        <v>163</v>
      </c>
      <c r="I70" s="1" t="s">
        <v>162</v>
      </c>
      <c r="Q70" s="1" t="s">
        <v>53</v>
      </c>
      <c r="S70" s="1" t="s">
        <v>448</v>
      </c>
      <c r="U70" s="1" t="s">
        <v>393</v>
      </c>
      <c r="AD70" s="1" t="s">
        <v>401</v>
      </c>
      <c r="AE70" s="1" t="str">
        <f t="shared" si="3"/>
        <v>OK</v>
      </c>
      <c r="AF70" s="1">
        <f t="shared" si="4"/>
        <v>0</v>
      </c>
      <c r="AG70" s="1">
        <f t="shared" si="5"/>
        <v>0</v>
      </c>
    </row>
    <row r="71" spans="1:33" s="1" customFormat="1" x14ac:dyDescent="0.25">
      <c r="A71" s="1" t="s">
        <v>13</v>
      </c>
      <c r="B71" s="1" t="s">
        <v>170</v>
      </c>
      <c r="C71" s="1" t="s">
        <v>408</v>
      </c>
      <c r="D71" s="1" t="s">
        <v>133</v>
      </c>
      <c r="E71" s="1" t="s">
        <v>118</v>
      </c>
      <c r="H71" s="1" t="s">
        <v>0</v>
      </c>
      <c r="I71" s="1" t="s">
        <v>119</v>
      </c>
      <c r="Q71" s="1" t="s">
        <v>53</v>
      </c>
      <c r="S71" s="1" t="s">
        <v>448</v>
      </c>
      <c r="U71" s="1" t="s">
        <v>393</v>
      </c>
      <c r="AD71" s="1" t="s">
        <v>401</v>
      </c>
      <c r="AE71" s="1" t="str">
        <f t="shared" si="3"/>
        <v>OK</v>
      </c>
      <c r="AF71" s="1">
        <f t="shared" si="4"/>
        <v>0</v>
      </c>
      <c r="AG71" s="1">
        <f t="shared" si="5"/>
        <v>0</v>
      </c>
    </row>
    <row r="72" spans="1:33" s="1" customFormat="1" x14ac:dyDescent="0.25">
      <c r="A72" s="1" t="s">
        <v>13</v>
      </c>
      <c r="B72" s="1" t="s">
        <v>171</v>
      </c>
      <c r="C72" s="1" t="s">
        <v>408</v>
      </c>
      <c r="D72" s="1" t="s">
        <v>133</v>
      </c>
      <c r="E72" s="1" t="s">
        <v>118</v>
      </c>
      <c r="H72" s="1" t="s">
        <v>0</v>
      </c>
      <c r="I72" s="1" t="s">
        <v>119</v>
      </c>
      <c r="Q72" s="1" t="s">
        <v>53</v>
      </c>
      <c r="S72" s="1" t="s">
        <v>448</v>
      </c>
      <c r="U72" s="1" t="s">
        <v>393</v>
      </c>
      <c r="AD72" s="1" t="s">
        <v>401</v>
      </c>
      <c r="AE72" s="1" t="str">
        <f t="shared" si="3"/>
        <v>OK</v>
      </c>
      <c r="AF72" s="1">
        <f t="shared" si="4"/>
        <v>0</v>
      </c>
      <c r="AG72" s="1">
        <f t="shared" si="5"/>
        <v>0</v>
      </c>
    </row>
    <row r="73" spans="1:33" s="1" customFormat="1" x14ac:dyDescent="0.25">
      <c r="A73" s="1" t="s">
        <v>15</v>
      </c>
      <c r="B73" s="1" t="s">
        <v>178</v>
      </c>
      <c r="C73" s="1" t="s">
        <v>408</v>
      </c>
      <c r="D73" s="1" t="s">
        <v>133</v>
      </c>
      <c r="E73" s="1" t="s">
        <v>176</v>
      </c>
      <c r="H73" s="1" t="s">
        <v>125</v>
      </c>
      <c r="I73" s="1" t="s">
        <v>172</v>
      </c>
      <c r="J73" s="1" t="s">
        <v>173</v>
      </c>
      <c r="Q73" s="1" t="s">
        <v>53</v>
      </c>
      <c r="S73" s="1" t="s">
        <v>448</v>
      </c>
      <c r="U73" s="1" t="s">
        <v>393</v>
      </c>
      <c r="AD73" s="1" t="s">
        <v>401</v>
      </c>
      <c r="AE73" s="1" t="str">
        <f t="shared" si="3"/>
        <v>OK</v>
      </c>
      <c r="AF73" s="1">
        <f t="shared" si="4"/>
        <v>0</v>
      </c>
      <c r="AG73" s="1">
        <f t="shared" si="5"/>
        <v>0</v>
      </c>
    </row>
    <row r="74" spans="1:33" s="1" customFormat="1" x14ac:dyDescent="0.25">
      <c r="A74" s="1" t="s">
        <v>15</v>
      </c>
      <c r="B74" s="1" t="s">
        <v>179</v>
      </c>
      <c r="C74" s="1" t="s">
        <v>408</v>
      </c>
      <c r="D74" s="1" t="s">
        <v>133</v>
      </c>
      <c r="E74" s="1" t="s">
        <v>176</v>
      </c>
      <c r="H74" s="1" t="s">
        <v>125</v>
      </c>
      <c r="I74" s="1" t="s">
        <v>172</v>
      </c>
      <c r="J74" s="1" t="s">
        <v>174</v>
      </c>
      <c r="Q74" s="1" t="s">
        <v>53</v>
      </c>
      <c r="S74" s="1" t="s">
        <v>448</v>
      </c>
      <c r="U74" s="1" t="s">
        <v>393</v>
      </c>
      <c r="AD74" s="1" t="s">
        <v>401</v>
      </c>
      <c r="AE74" s="1" t="str">
        <f t="shared" si="3"/>
        <v>OK</v>
      </c>
      <c r="AF74" s="1">
        <f t="shared" si="4"/>
        <v>0</v>
      </c>
      <c r="AG74" s="1">
        <f t="shared" si="5"/>
        <v>0</v>
      </c>
    </row>
    <row r="75" spans="1:33" s="1" customFormat="1" x14ac:dyDescent="0.25">
      <c r="A75" s="1" t="s">
        <v>15</v>
      </c>
      <c r="B75" s="1" t="s">
        <v>180</v>
      </c>
      <c r="C75" s="1" t="s">
        <v>408</v>
      </c>
      <c r="D75" s="1" t="s">
        <v>133</v>
      </c>
      <c r="E75" s="1" t="s">
        <v>177</v>
      </c>
      <c r="H75" s="1" t="s">
        <v>125</v>
      </c>
      <c r="I75" s="1" t="s">
        <v>175</v>
      </c>
      <c r="Q75" s="1" t="s">
        <v>53</v>
      </c>
      <c r="S75" s="1" t="s">
        <v>448</v>
      </c>
      <c r="U75" s="1" t="s">
        <v>393</v>
      </c>
      <c r="AD75" s="1" t="s">
        <v>401</v>
      </c>
      <c r="AE75" s="1" t="str">
        <f t="shared" si="3"/>
        <v>OK</v>
      </c>
      <c r="AF75" s="1">
        <f t="shared" si="4"/>
        <v>0</v>
      </c>
      <c r="AG75" s="1">
        <f t="shared" si="5"/>
        <v>0</v>
      </c>
    </row>
    <row r="76" spans="1:33" s="1" customFormat="1" x14ac:dyDescent="0.25">
      <c r="A76" s="1" t="s">
        <v>15</v>
      </c>
      <c r="B76" s="1" t="s">
        <v>181</v>
      </c>
      <c r="C76" s="1" t="s">
        <v>408</v>
      </c>
      <c r="D76" s="1" t="s">
        <v>133</v>
      </c>
      <c r="E76" s="1" t="s">
        <v>177</v>
      </c>
      <c r="H76" s="1" t="s">
        <v>125</v>
      </c>
      <c r="I76" s="1" t="s">
        <v>175</v>
      </c>
      <c r="Q76" s="1" t="s">
        <v>53</v>
      </c>
      <c r="S76" s="1" t="s">
        <v>448</v>
      </c>
      <c r="U76" s="1" t="s">
        <v>393</v>
      </c>
      <c r="AD76" s="1" t="s">
        <v>401</v>
      </c>
      <c r="AE76" s="1" t="str">
        <f t="shared" si="3"/>
        <v>OK</v>
      </c>
      <c r="AF76" s="1">
        <f t="shared" si="4"/>
        <v>0</v>
      </c>
      <c r="AG76" s="1">
        <f t="shared" si="5"/>
        <v>0</v>
      </c>
    </row>
    <row r="77" spans="1:33" x14ac:dyDescent="0.25">
      <c r="A77" s="16" t="s">
        <v>66</v>
      </c>
      <c r="B77" s="16" t="s">
        <v>182</v>
      </c>
      <c r="C77" s="16" t="s">
        <v>408</v>
      </c>
      <c r="D77" s="16" t="s">
        <v>133</v>
      </c>
      <c r="E77" s="16" t="s">
        <v>129</v>
      </c>
      <c r="H77" s="16" t="s">
        <v>0</v>
      </c>
      <c r="I77" s="16" t="s">
        <v>132</v>
      </c>
      <c r="L77" s="16" t="s">
        <v>421</v>
      </c>
      <c r="M77" s="16">
        <v>1</v>
      </c>
      <c r="N77" s="16" t="s">
        <v>420</v>
      </c>
      <c r="O77" s="16" t="s">
        <v>419</v>
      </c>
      <c r="Q77" s="16" t="s">
        <v>53</v>
      </c>
      <c r="S77" s="16" t="s">
        <v>448</v>
      </c>
      <c r="U77" s="16" t="s">
        <v>394</v>
      </c>
      <c r="X77" s="16" t="s">
        <v>453</v>
      </c>
      <c r="AD77" s="16" t="s">
        <v>401</v>
      </c>
      <c r="AE77" s="16" t="str">
        <f t="shared" si="3"/>
        <v>OK</v>
      </c>
      <c r="AF77" s="16">
        <f t="shared" si="4"/>
        <v>0</v>
      </c>
      <c r="AG77" s="16">
        <f t="shared" si="5"/>
        <v>1</v>
      </c>
    </row>
    <row r="78" spans="1:33" x14ac:dyDescent="0.25">
      <c r="A78" s="16" t="s">
        <v>66</v>
      </c>
      <c r="B78" s="16" t="s">
        <v>183</v>
      </c>
      <c r="C78" s="16" t="s">
        <v>408</v>
      </c>
      <c r="D78" s="16" t="s">
        <v>133</v>
      </c>
      <c r="E78" s="16" t="s">
        <v>129</v>
      </c>
      <c r="H78" s="16" t="s">
        <v>0</v>
      </c>
      <c r="I78" s="16" t="s">
        <v>132</v>
      </c>
      <c r="L78" s="16" t="s">
        <v>421</v>
      </c>
      <c r="M78" s="16">
        <v>1</v>
      </c>
      <c r="N78" s="16" t="s">
        <v>420</v>
      </c>
      <c r="O78" s="16" t="s">
        <v>419</v>
      </c>
      <c r="Q78" s="16" t="s">
        <v>53</v>
      </c>
      <c r="S78" s="16" t="s">
        <v>448</v>
      </c>
      <c r="U78" s="16" t="s">
        <v>394</v>
      </c>
      <c r="X78" s="16" t="s">
        <v>453</v>
      </c>
      <c r="AD78" s="16" t="s">
        <v>401</v>
      </c>
      <c r="AE78" s="16" t="str">
        <f t="shared" si="3"/>
        <v>OK</v>
      </c>
      <c r="AF78" s="16">
        <f t="shared" si="4"/>
        <v>0</v>
      </c>
      <c r="AG78" s="16">
        <f t="shared" si="5"/>
        <v>1</v>
      </c>
    </row>
    <row r="79" spans="1:33" s="1" customFormat="1" x14ac:dyDescent="0.25">
      <c r="A79" s="1" t="s">
        <v>427</v>
      </c>
      <c r="B79" s="1" t="s">
        <v>426</v>
      </c>
      <c r="C79" s="1" t="s">
        <v>408</v>
      </c>
      <c r="D79" s="1" t="s">
        <v>133</v>
      </c>
      <c r="E79" s="1" t="s">
        <v>433</v>
      </c>
      <c r="H79" s="1" t="s">
        <v>428</v>
      </c>
      <c r="I79" s="1" t="s">
        <v>429</v>
      </c>
      <c r="L79" s="1" t="s">
        <v>430</v>
      </c>
      <c r="Q79" s="1" t="s">
        <v>53</v>
      </c>
      <c r="S79" s="1" t="s">
        <v>448</v>
      </c>
      <c r="U79" s="1" t="s">
        <v>393</v>
      </c>
      <c r="AD79" s="1" t="s">
        <v>401</v>
      </c>
      <c r="AE79" s="1" t="str">
        <f t="shared" si="3"/>
        <v>OK</v>
      </c>
      <c r="AF79" s="1">
        <f t="shared" si="4"/>
        <v>0</v>
      </c>
      <c r="AG79" s="1">
        <f t="shared" si="5"/>
        <v>0</v>
      </c>
    </row>
    <row r="80" spans="1:33" s="1" customFormat="1" x14ac:dyDescent="0.25">
      <c r="A80" s="1" t="s">
        <v>79</v>
      </c>
      <c r="B80" s="1" t="s">
        <v>210</v>
      </c>
      <c r="C80" s="1" t="s">
        <v>407</v>
      </c>
      <c r="D80" s="1" t="s">
        <v>133</v>
      </c>
      <c r="E80" s="1" t="s">
        <v>204</v>
      </c>
      <c r="H80" s="1" t="s">
        <v>0</v>
      </c>
      <c r="I80" s="1" t="s">
        <v>75</v>
      </c>
      <c r="Q80" s="1" t="s">
        <v>53</v>
      </c>
      <c r="S80" s="1" t="s">
        <v>448</v>
      </c>
      <c r="U80" s="1" t="s">
        <v>393</v>
      </c>
      <c r="AD80" s="1" t="s">
        <v>402</v>
      </c>
      <c r="AE80" s="1" t="str">
        <f t="shared" si="3"/>
        <v>OK</v>
      </c>
      <c r="AF80" s="1">
        <f t="shared" si="4"/>
        <v>0</v>
      </c>
      <c r="AG80" s="1">
        <f t="shared" si="5"/>
        <v>0</v>
      </c>
    </row>
    <row r="81" spans="1:33" s="1" customFormat="1" x14ac:dyDescent="0.25">
      <c r="A81" s="1" t="s">
        <v>79</v>
      </c>
      <c r="B81" s="1" t="s">
        <v>212</v>
      </c>
      <c r="C81" s="1" t="s">
        <v>407</v>
      </c>
      <c r="D81" s="1" t="s">
        <v>133</v>
      </c>
      <c r="E81" s="1" t="s">
        <v>204</v>
      </c>
      <c r="H81" s="1" t="s">
        <v>0</v>
      </c>
      <c r="I81" s="1" t="s">
        <v>75</v>
      </c>
      <c r="Q81" s="1" t="s">
        <v>53</v>
      </c>
      <c r="S81" s="1" t="s">
        <v>448</v>
      </c>
      <c r="U81" s="1" t="s">
        <v>393</v>
      </c>
      <c r="AD81" s="1" t="s">
        <v>402</v>
      </c>
      <c r="AE81" s="1" t="str">
        <f t="shared" si="3"/>
        <v>OK</v>
      </c>
      <c r="AF81" s="1">
        <f t="shared" si="4"/>
        <v>0</v>
      </c>
      <c r="AG81" s="1">
        <f t="shared" si="5"/>
        <v>0</v>
      </c>
    </row>
    <row r="82" spans="1:33" x14ac:dyDescent="0.25">
      <c r="A82" s="16" t="s">
        <v>84</v>
      </c>
      <c r="B82" s="16" t="s">
        <v>213</v>
      </c>
      <c r="C82" s="16" t="s">
        <v>407</v>
      </c>
      <c r="D82" s="16" t="s">
        <v>133</v>
      </c>
      <c r="E82" s="16" t="s">
        <v>80</v>
      </c>
      <c r="H82" s="16" t="s">
        <v>8</v>
      </c>
      <c r="I82" s="16" t="s">
        <v>81</v>
      </c>
      <c r="M82" s="16" t="s">
        <v>422</v>
      </c>
      <c r="N82" s="16" t="s">
        <v>414</v>
      </c>
      <c r="Q82" s="16" t="s">
        <v>53</v>
      </c>
      <c r="S82" s="16" t="s">
        <v>448</v>
      </c>
      <c r="U82" s="16" t="s">
        <v>394</v>
      </c>
      <c r="X82" s="16" t="s">
        <v>452</v>
      </c>
      <c r="AD82" s="16" t="s">
        <v>402</v>
      </c>
      <c r="AE82" s="16" t="str">
        <f t="shared" si="3"/>
        <v>OK</v>
      </c>
      <c r="AF82" s="16">
        <f t="shared" si="4"/>
        <v>0</v>
      </c>
      <c r="AG82" s="16">
        <f t="shared" si="5"/>
        <v>1</v>
      </c>
    </row>
    <row r="83" spans="1:33" x14ac:dyDescent="0.25">
      <c r="A83" s="16" t="s">
        <v>90</v>
      </c>
      <c r="B83" s="16" t="s">
        <v>214</v>
      </c>
      <c r="C83" s="16" t="s">
        <v>407</v>
      </c>
      <c r="D83" s="16" t="s">
        <v>133</v>
      </c>
      <c r="E83" s="16" t="s">
        <v>205</v>
      </c>
      <c r="H83" s="16" t="s">
        <v>86</v>
      </c>
      <c r="I83" s="16" t="s">
        <v>85</v>
      </c>
      <c r="J83" s="16" t="s">
        <v>203</v>
      </c>
      <c r="N83" s="16" t="s">
        <v>415</v>
      </c>
      <c r="Q83" s="16" t="s">
        <v>53</v>
      </c>
      <c r="S83" s="16" t="s">
        <v>448</v>
      </c>
      <c r="U83" s="16" t="s">
        <v>394</v>
      </c>
      <c r="X83" s="16" t="s">
        <v>452</v>
      </c>
      <c r="AD83" s="16" t="s">
        <v>402</v>
      </c>
      <c r="AE83" s="16" t="str">
        <f t="shared" si="3"/>
        <v>OK</v>
      </c>
      <c r="AF83" s="16">
        <f t="shared" si="4"/>
        <v>0</v>
      </c>
      <c r="AG83" s="16">
        <f t="shared" si="5"/>
        <v>1</v>
      </c>
    </row>
    <row r="84" spans="1:33" s="1" customFormat="1" x14ac:dyDescent="0.25">
      <c r="A84" s="1" t="s">
        <v>1</v>
      </c>
      <c r="B84" s="1" t="s">
        <v>211</v>
      </c>
      <c r="C84" s="1" t="s">
        <v>407</v>
      </c>
      <c r="D84" s="1" t="s">
        <v>133</v>
      </c>
      <c r="E84" s="1" t="s">
        <v>206</v>
      </c>
      <c r="H84" s="1" t="s">
        <v>0</v>
      </c>
      <c r="I84" s="1" t="s">
        <v>91</v>
      </c>
      <c r="Q84" s="1" t="s">
        <v>53</v>
      </c>
      <c r="S84" s="1" t="s">
        <v>448</v>
      </c>
      <c r="U84" s="1" t="s">
        <v>393</v>
      </c>
      <c r="AD84" s="1" t="s">
        <v>402</v>
      </c>
      <c r="AE84" s="1" t="str">
        <f t="shared" si="3"/>
        <v>OK</v>
      </c>
      <c r="AF84" s="1">
        <f t="shared" si="4"/>
        <v>0</v>
      </c>
      <c r="AG84" s="1">
        <f t="shared" si="5"/>
        <v>0</v>
      </c>
    </row>
    <row r="85" spans="1:33" s="1" customFormat="1" x14ac:dyDescent="0.25">
      <c r="A85" s="1" t="s">
        <v>1</v>
      </c>
      <c r="B85" s="1" t="s">
        <v>215</v>
      </c>
      <c r="C85" s="1" t="s">
        <v>407</v>
      </c>
      <c r="D85" s="1" t="s">
        <v>133</v>
      </c>
      <c r="E85" s="1" t="s">
        <v>206</v>
      </c>
      <c r="H85" s="1" t="s">
        <v>0</v>
      </c>
      <c r="I85" s="1" t="s">
        <v>91</v>
      </c>
      <c r="Q85" s="1" t="s">
        <v>53</v>
      </c>
      <c r="S85" s="1" t="s">
        <v>448</v>
      </c>
      <c r="U85" s="1" t="s">
        <v>393</v>
      </c>
      <c r="AD85" s="1" t="s">
        <v>402</v>
      </c>
      <c r="AE85" s="1" t="str">
        <f t="shared" si="3"/>
        <v>OK</v>
      </c>
      <c r="AF85" s="1">
        <f t="shared" si="4"/>
        <v>0</v>
      </c>
      <c r="AG85" s="1">
        <f t="shared" si="5"/>
        <v>0</v>
      </c>
    </row>
    <row r="86" spans="1:33" s="1" customFormat="1" x14ac:dyDescent="0.25">
      <c r="A86" s="1" t="s">
        <v>1</v>
      </c>
      <c r="B86" s="1" t="s">
        <v>216</v>
      </c>
      <c r="C86" s="1" t="s">
        <v>407</v>
      </c>
      <c r="D86" s="1" t="s">
        <v>133</v>
      </c>
      <c r="E86" s="1" t="s">
        <v>206</v>
      </c>
      <c r="H86" s="1" t="s">
        <v>0</v>
      </c>
      <c r="I86" s="1" t="s">
        <v>91</v>
      </c>
      <c r="Q86" s="1" t="s">
        <v>53</v>
      </c>
      <c r="S86" s="1" t="s">
        <v>448</v>
      </c>
      <c r="U86" s="1" t="s">
        <v>393</v>
      </c>
      <c r="AD86" s="1" t="s">
        <v>402</v>
      </c>
      <c r="AE86" s="1" t="str">
        <f t="shared" si="3"/>
        <v>OK</v>
      </c>
      <c r="AF86" s="1">
        <f t="shared" si="4"/>
        <v>0</v>
      </c>
      <c r="AG86" s="1">
        <f t="shared" si="5"/>
        <v>0</v>
      </c>
    </row>
    <row r="87" spans="1:33" s="1" customFormat="1" x14ac:dyDescent="0.25">
      <c r="A87" s="1" t="s">
        <v>1</v>
      </c>
      <c r="B87" s="1" t="s">
        <v>217</v>
      </c>
      <c r="C87" s="1" t="s">
        <v>407</v>
      </c>
      <c r="D87" s="1" t="s">
        <v>133</v>
      </c>
      <c r="E87" s="1" t="s">
        <v>106</v>
      </c>
      <c r="H87" s="1" t="s">
        <v>0</v>
      </c>
      <c r="I87" s="1" t="s">
        <v>107</v>
      </c>
      <c r="Q87" s="1" t="s">
        <v>53</v>
      </c>
      <c r="S87" s="1" t="s">
        <v>448</v>
      </c>
      <c r="U87" s="1" t="s">
        <v>393</v>
      </c>
      <c r="AD87" s="1" t="s">
        <v>402</v>
      </c>
      <c r="AE87" s="1" t="str">
        <f t="shared" si="3"/>
        <v>OK</v>
      </c>
      <c r="AF87" s="1">
        <f t="shared" si="4"/>
        <v>0</v>
      </c>
      <c r="AG87" s="1">
        <f t="shared" si="5"/>
        <v>0</v>
      </c>
    </row>
    <row r="88" spans="1:33" s="1" customFormat="1" x14ac:dyDescent="0.25">
      <c r="A88" s="1" t="s">
        <v>1</v>
      </c>
      <c r="B88" s="1" t="s">
        <v>218</v>
      </c>
      <c r="C88" s="1" t="s">
        <v>407</v>
      </c>
      <c r="D88" s="1" t="s">
        <v>133</v>
      </c>
      <c r="E88" s="1" t="s">
        <v>106</v>
      </c>
      <c r="H88" s="1" t="s">
        <v>0</v>
      </c>
      <c r="I88" s="1" t="s">
        <v>107</v>
      </c>
      <c r="Q88" s="1" t="s">
        <v>53</v>
      </c>
      <c r="S88" s="1" t="s">
        <v>448</v>
      </c>
      <c r="U88" s="1" t="s">
        <v>393</v>
      </c>
      <c r="AD88" s="1" t="s">
        <v>402</v>
      </c>
      <c r="AE88" s="1" t="str">
        <f t="shared" si="3"/>
        <v>OK</v>
      </c>
      <c r="AF88" s="1">
        <f t="shared" si="4"/>
        <v>0</v>
      </c>
      <c r="AG88" s="1">
        <f t="shared" si="5"/>
        <v>0</v>
      </c>
    </row>
    <row r="89" spans="1:33" s="1" customFormat="1" x14ac:dyDescent="0.25">
      <c r="A89" s="1" t="s">
        <v>1</v>
      </c>
      <c r="B89" s="1" t="s">
        <v>219</v>
      </c>
      <c r="C89" s="1" t="s">
        <v>407</v>
      </c>
      <c r="D89" s="1" t="s">
        <v>133</v>
      </c>
      <c r="E89" s="1" t="s">
        <v>108</v>
      </c>
      <c r="H89" s="1" t="s">
        <v>0</v>
      </c>
      <c r="I89" s="1" t="s">
        <v>107</v>
      </c>
      <c r="Q89" s="1" t="s">
        <v>53</v>
      </c>
      <c r="S89" s="1" t="s">
        <v>448</v>
      </c>
      <c r="U89" s="1" t="s">
        <v>393</v>
      </c>
      <c r="AD89" s="1" t="s">
        <v>402</v>
      </c>
      <c r="AE89" s="1" t="str">
        <f t="shared" si="3"/>
        <v>OK</v>
      </c>
      <c r="AF89" s="1">
        <f t="shared" si="4"/>
        <v>0</v>
      </c>
      <c r="AG89" s="1">
        <f t="shared" si="5"/>
        <v>0</v>
      </c>
    </row>
    <row r="90" spans="1:33" s="1" customFormat="1" x14ac:dyDescent="0.25">
      <c r="A90" s="1" t="s">
        <v>1</v>
      </c>
      <c r="B90" s="1" t="s">
        <v>220</v>
      </c>
      <c r="C90" s="1" t="s">
        <v>407</v>
      </c>
      <c r="D90" s="1" t="s">
        <v>133</v>
      </c>
      <c r="E90" s="1" t="s">
        <v>108</v>
      </c>
      <c r="H90" s="1" t="s">
        <v>0</v>
      </c>
      <c r="I90" s="1" t="s">
        <v>107</v>
      </c>
      <c r="Q90" s="1" t="s">
        <v>53</v>
      </c>
      <c r="S90" s="1" t="s">
        <v>448</v>
      </c>
      <c r="U90" s="1" t="s">
        <v>393</v>
      </c>
      <c r="AD90" s="1" t="s">
        <v>402</v>
      </c>
      <c r="AE90" s="1" t="str">
        <f t="shared" si="3"/>
        <v>OK</v>
      </c>
      <c r="AF90" s="1">
        <f t="shared" si="4"/>
        <v>0</v>
      </c>
      <c r="AG90" s="1">
        <f t="shared" si="5"/>
        <v>0</v>
      </c>
    </row>
    <row r="91" spans="1:33" s="1" customFormat="1" x14ac:dyDescent="0.25">
      <c r="A91" s="1" t="s">
        <v>1</v>
      </c>
      <c r="B91" s="1" t="s">
        <v>221</v>
      </c>
      <c r="C91" s="1" t="s">
        <v>407</v>
      </c>
      <c r="D91" s="1" t="s">
        <v>133</v>
      </c>
      <c r="E91" s="1" t="s">
        <v>110</v>
      </c>
      <c r="H91" s="1" t="s">
        <v>0</v>
      </c>
      <c r="I91" s="1" t="s">
        <v>111</v>
      </c>
      <c r="Q91" s="1" t="s">
        <v>53</v>
      </c>
      <c r="S91" s="1" t="s">
        <v>448</v>
      </c>
      <c r="U91" s="1" t="s">
        <v>393</v>
      </c>
      <c r="AD91" s="1" t="s">
        <v>402</v>
      </c>
      <c r="AE91" s="1" t="str">
        <f t="shared" si="3"/>
        <v>OK</v>
      </c>
      <c r="AF91" s="1">
        <f t="shared" si="4"/>
        <v>0</v>
      </c>
      <c r="AG91" s="1">
        <f t="shared" si="5"/>
        <v>0</v>
      </c>
    </row>
    <row r="92" spans="1:33" s="1" customFormat="1" x14ac:dyDescent="0.25">
      <c r="A92" s="1" t="s">
        <v>1</v>
      </c>
      <c r="B92" s="1" t="s">
        <v>222</v>
      </c>
      <c r="C92" s="1" t="s">
        <v>407</v>
      </c>
      <c r="D92" s="1" t="s">
        <v>133</v>
      </c>
      <c r="E92" s="1" t="s">
        <v>110</v>
      </c>
      <c r="H92" s="1" t="s">
        <v>0</v>
      </c>
      <c r="I92" s="1" t="s">
        <v>111</v>
      </c>
      <c r="Q92" s="1" t="s">
        <v>53</v>
      </c>
      <c r="S92" s="1" t="s">
        <v>448</v>
      </c>
      <c r="U92" s="1" t="s">
        <v>393</v>
      </c>
      <c r="AD92" s="1" t="s">
        <v>402</v>
      </c>
      <c r="AE92" s="1" t="str">
        <f t="shared" si="3"/>
        <v>OK</v>
      </c>
      <c r="AF92" s="1">
        <f t="shared" si="4"/>
        <v>0</v>
      </c>
      <c r="AG92" s="1">
        <f t="shared" si="5"/>
        <v>0</v>
      </c>
    </row>
    <row r="93" spans="1:33" s="1" customFormat="1" x14ac:dyDescent="0.25">
      <c r="A93" s="1" t="s">
        <v>1</v>
      </c>
      <c r="B93" s="1" t="s">
        <v>223</v>
      </c>
      <c r="C93" s="1" t="s">
        <v>407</v>
      </c>
      <c r="D93" s="1" t="s">
        <v>133</v>
      </c>
      <c r="E93" s="1" t="s">
        <v>207</v>
      </c>
      <c r="H93" s="1" t="s">
        <v>0</v>
      </c>
      <c r="I93" s="1" t="s">
        <v>107</v>
      </c>
      <c r="Q93" s="1" t="s">
        <v>53</v>
      </c>
      <c r="S93" s="1" t="s">
        <v>448</v>
      </c>
      <c r="U93" s="1" t="s">
        <v>393</v>
      </c>
      <c r="AD93" s="1" t="s">
        <v>402</v>
      </c>
      <c r="AE93" s="1" t="str">
        <f t="shared" si="3"/>
        <v>OK</v>
      </c>
      <c r="AF93" s="1">
        <f t="shared" si="4"/>
        <v>0</v>
      </c>
      <c r="AG93" s="1">
        <f t="shared" si="5"/>
        <v>0</v>
      </c>
    </row>
    <row r="94" spans="1:33" s="1" customFormat="1" x14ac:dyDescent="0.25">
      <c r="A94" s="1" t="s">
        <v>1</v>
      </c>
      <c r="B94" s="1" t="s">
        <v>224</v>
      </c>
      <c r="C94" s="1" t="s">
        <v>407</v>
      </c>
      <c r="D94" s="1" t="s">
        <v>133</v>
      </c>
      <c r="E94" s="1" t="s">
        <v>110</v>
      </c>
      <c r="H94" s="1" t="s">
        <v>0</v>
      </c>
      <c r="I94" s="1" t="s">
        <v>111</v>
      </c>
      <c r="Q94" s="1" t="s">
        <v>53</v>
      </c>
      <c r="S94" s="1" t="s">
        <v>448</v>
      </c>
      <c r="U94" s="1" t="s">
        <v>393</v>
      </c>
      <c r="AD94" s="1" t="s">
        <v>402</v>
      </c>
      <c r="AE94" s="1" t="str">
        <f t="shared" si="3"/>
        <v>OK</v>
      </c>
      <c r="AF94" s="1">
        <f t="shared" si="4"/>
        <v>0</v>
      </c>
      <c r="AG94" s="1">
        <f t="shared" si="5"/>
        <v>0</v>
      </c>
    </row>
    <row r="95" spans="1:33" s="1" customFormat="1" x14ac:dyDescent="0.25">
      <c r="A95" s="1" t="s">
        <v>1</v>
      </c>
      <c r="B95" s="1" t="s">
        <v>225</v>
      </c>
      <c r="C95" s="1" t="s">
        <v>407</v>
      </c>
      <c r="D95" s="1" t="s">
        <v>133</v>
      </c>
      <c r="E95" s="1" t="s">
        <v>110</v>
      </c>
      <c r="H95" s="1" t="s">
        <v>0</v>
      </c>
      <c r="I95" s="1" t="s">
        <v>111</v>
      </c>
      <c r="Q95" s="1" t="s">
        <v>53</v>
      </c>
      <c r="S95" s="1" t="s">
        <v>448</v>
      </c>
      <c r="U95" s="1" t="s">
        <v>393</v>
      </c>
      <c r="AD95" s="1" t="s">
        <v>402</v>
      </c>
      <c r="AE95" s="1" t="str">
        <f t="shared" si="3"/>
        <v>OK</v>
      </c>
      <c r="AF95" s="1">
        <f t="shared" si="4"/>
        <v>0</v>
      </c>
      <c r="AG95" s="1">
        <f t="shared" si="5"/>
        <v>0</v>
      </c>
    </row>
    <row r="96" spans="1:33" s="1" customFormat="1" x14ac:dyDescent="0.25">
      <c r="A96" s="1" t="s">
        <v>1</v>
      </c>
      <c r="B96" s="1" t="s">
        <v>226</v>
      </c>
      <c r="C96" s="1" t="s">
        <v>407</v>
      </c>
      <c r="D96" s="1" t="s">
        <v>133</v>
      </c>
      <c r="E96" s="1" t="s">
        <v>208</v>
      </c>
      <c r="H96" s="1" t="s">
        <v>0</v>
      </c>
      <c r="I96" s="1" t="s">
        <v>107</v>
      </c>
      <c r="Q96" s="1" t="s">
        <v>53</v>
      </c>
      <c r="S96" s="1" t="s">
        <v>448</v>
      </c>
      <c r="U96" s="1" t="s">
        <v>393</v>
      </c>
      <c r="AD96" s="1" t="s">
        <v>402</v>
      </c>
      <c r="AE96" s="1" t="str">
        <f t="shared" si="3"/>
        <v>OK</v>
      </c>
      <c r="AF96" s="1">
        <f t="shared" si="4"/>
        <v>0</v>
      </c>
      <c r="AG96" s="1">
        <f t="shared" si="5"/>
        <v>0</v>
      </c>
    </row>
    <row r="97" spans="1:33" s="1" customFormat="1" x14ac:dyDescent="0.25">
      <c r="A97" s="1" t="s">
        <v>1</v>
      </c>
      <c r="B97" s="1" t="s">
        <v>227</v>
      </c>
      <c r="C97" s="1" t="s">
        <v>407</v>
      </c>
      <c r="D97" s="1" t="s">
        <v>133</v>
      </c>
      <c r="E97" s="1" t="s">
        <v>209</v>
      </c>
      <c r="H97" s="1" t="s">
        <v>0</v>
      </c>
      <c r="I97" s="1" t="s">
        <v>111</v>
      </c>
      <c r="Q97" s="1" t="s">
        <v>53</v>
      </c>
      <c r="S97" s="1" t="s">
        <v>448</v>
      </c>
      <c r="U97" s="1" t="s">
        <v>393</v>
      </c>
      <c r="AD97" s="1" t="s">
        <v>402</v>
      </c>
      <c r="AE97" s="1" t="str">
        <f t="shared" si="3"/>
        <v>OK</v>
      </c>
      <c r="AF97" s="1">
        <f t="shared" si="4"/>
        <v>0</v>
      </c>
      <c r="AG97" s="1">
        <f t="shared" si="5"/>
        <v>0</v>
      </c>
    </row>
    <row r="98" spans="1:33" s="1" customFormat="1" x14ac:dyDescent="0.25">
      <c r="A98" s="1" t="s">
        <v>1</v>
      </c>
      <c r="B98" s="1" t="s">
        <v>228</v>
      </c>
      <c r="C98" s="1" t="s">
        <v>407</v>
      </c>
      <c r="D98" s="1" t="s">
        <v>133</v>
      </c>
      <c r="E98" s="1" t="s">
        <v>106</v>
      </c>
      <c r="H98" s="1" t="s">
        <v>0</v>
      </c>
      <c r="I98" s="1" t="s">
        <v>107</v>
      </c>
      <c r="Q98" s="1" t="s">
        <v>53</v>
      </c>
      <c r="S98" s="1" t="s">
        <v>448</v>
      </c>
      <c r="U98" s="1" t="s">
        <v>393</v>
      </c>
      <c r="AD98" s="1" t="s">
        <v>402</v>
      </c>
      <c r="AE98" s="1" t="str">
        <f t="shared" si="3"/>
        <v>OK</v>
      </c>
      <c r="AF98" s="1">
        <f t="shared" si="4"/>
        <v>0</v>
      </c>
      <c r="AG98" s="1">
        <f t="shared" si="5"/>
        <v>0</v>
      </c>
    </row>
    <row r="99" spans="1:33" x14ac:dyDescent="0.25">
      <c r="A99" s="16" t="s">
        <v>117</v>
      </c>
      <c r="B99" s="16" t="s">
        <v>230</v>
      </c>
      <c r="C99" s="16" t="s">
        <v>407</v>
      </c>
      <c r="D99" s="16" t="s">
        <v>133</v>
      </c>
      <c r="E99" s="16" t="s">
        <v>113</v>
      </c>
      <c r="H99" s="16" t="s">
        <v>115</v>
      </c>
      <c r="I99" s="16" t="s">
        <v>229</v>
      </c>
      <c r="L99" s="16" t="s">
        <v>418</v>
      </c>
      <c r="M99" s="16" t="s">
        <v>417</v>
      </c>
      <c r="N99" s="16" t="s">
        <v>416</v>
      </c>
      <c r="Q99" s="16" t="s">
        <v>53</v>
      </c>
      <c r="S99" s="16" t="s">
        <v>448</v>
      </c>
      <c r="U99" s="16" t="s">
        <v>394</v>
      </c>
      <c r="X99" s="16" t="s">
        <v>452</v>
      </c>
      <c r="AD99" s="16" t="s">
        <v>402</v>
      </c>
      <c r="AE99" s="16" t="str">
        <f t="shared" si="3"/>
        <v>OK</v>
      </c>
      <c r="AF99" s="16">
        <f t="shared" si="4"/>
        <v>0</v>
      </c>
      <c r="AG99" s="16">
        <f t="shared" si="5"/>
        <v>1</v>
      </c>
    </row>
    <row r="100" spans="1:33" s="1" customFormat="1" x14ac:dyDescent="0.25">
      <c r="A100" s="1" t="s">
        <v>73</v>
      </c>
      <c r="B100" s="1" t="s">
        <v>231</v>
      </c>
      <c r="C100" s="1" t="s">
        <v>407</v>
      </c>
      <c r="D100" s="1" t="s">
        <v>133</v>
      </c>
      <c r="E100" s="1" t="s">
        <v>158</v>
      </c>
      <c r="H100" s="1" t="s">
        <v>86</v>
      </c>
      <c r="I100" s="1" t="s">
        <v>160</v>
      </c>
      <c r="Q100" s="1" t="s">
        <v>53</v>
      </c>
      <c r="S100" s="1" t="s">
        <v>448</v>
      </c>
      <c r="U100" s="1" t="s">
        <v>393</v>
      </c>
      <c r="AD100" s="1" t="s">
        <v>402</v>
      </c>
      <c r="AE100" s="1" t="str">
        <f t="shared" si="3"/>
        <v>OK</v>
      </c>
      <c r="AF100" s="1">
        <f t="shared" si="4"/>
        <v>0</v>
      </c>
      <c r="AG100" s="1">
        <f t="shared" si="5"/>
        <v>0</v>
      </c>
    </row>
    <row r="101" spans="1:33" s="1" customFormat="1" x14ac:dyDescent="0.25">
      <c r="A101" s="1" t="s">
        <v>165</v>
      </c>
      <c r="B101" s="1" t="s">
        <v>232</v>
      </c>
      <c r="C101" s="1" t="s">
        <v>407</v>
      </c>
      <c r="D101" s="1" t="s">
        <v>133</v>
      </c>
      <c r="E101" s="1" t="s">
        <v>164</v>
      </c>
      <c r="H101" s="1" t="s">
        <v>163</v>
      </c>
      <c r="I101" s="1" t="s">
        <v>162</v>
      </c>
      <c r="Q101" s="1" t="s">
        <v>53</v>
      </c>
      <c r="S101" s="1" t="s">
        <v>448</v>
      </c>
      <c r="U101" s="1" t="s">
        <v>393</v>
      </c>
      <c r="AD101" s="1" t="s">
        <v>402</v>
      </c>
      <c r="AE101" s="1" t="str">
        <f t="shared" si="3"/>
        <v>OK</v>
      </c>
      <c r="AF101" s="1">
        <f t="shared" si="4"/>
        <v>0</v>
      </c>
      <c r="AG101" s="1">
        <f t="shared" si="5"/>
        <v>0</v>
      </c>
    </row>
    <row r="102" spans="1:33" s="1" customFormat="1" x14ac:dyDescent="0.25">
      <c r="A102" s="1" t="s">
        <v>9</v>
      </c>
      <c r="B102" s="1" t="s">
        <v>233</v>
      </c>
      <c r="C102" s="1" t="s">
        <v>407</v>
      </c>
      <c r="D102" s="1" t="s">
        <v>133</v>
      </c>
      <c r="E102" s="1" t="s">
        <v>164</v>
      </c>
      <c r="H102" s="1" t="s">
        <v>163</v>
      </c>
      <c r="I102" s="1" t="s">
        <v>162</v>
      </c>
      <c r="Q102" s="1" t="s">
        <v>53</v>
      </c>
      <c r="S102" s="1" t="s">
        <v>448</v>
      </c>
      <c r="U102" s="1" t="s">
        <v>393</v>
      </c>
      <c r="AD102" s="1" t="s">
        <v>402</v>
      </c>
      <c r="AE102" s="1" t="str">
        <f t="shared" si="3"/>
        <v>OK</v>
      </c>
      <c r="AF102" s="1">
        <f t="shared" si="4"/>
        <v>0</v>
      </c>
      <c r="AG102" s="1">
        <f t="shared" si="5"/>
        <v>0</v>
      </c>
    </row>
    <row r="103" spans="1:33" s="1" customFormat="1" x14ac:dyDescent="0.25">
      <c r="A103" s="1" t="s">
        <v>166</v>
      </c>
      <c r="B103" s="1" t="s">
        <v>234</v>
      </c>
      <c r="C103" s="1" t="s">
        <v>407</v>
      </c>
      <c r="D103" s="1" t="s">
        <v>133</v>
      </c>
      <c r="E103" s="1" t="s">
        <v>164</v>
      </c>
      <c r="H103" s="1" t="s">
        <v>163</v>
      </c>
      <c r="I103" s="1" t="s">
        <v>162</v>
      </c>
      <c r="Q103" s="1" t="s">
        <v>53</v>
      </c>
      <c r="S103" s="1" t="s">
        <v>448</v>
      </c>
      <c r="U103" s="1" t="s">
        <v>393</v>
      </c>
      <c r="AD103" s="1" t="s">
        <v>402</v>
      </c>
      <c r="AE103" s="1" t="str">
        <f t="shared" si="3"/>
        <v>OK</v>
      </c>
      <c r="AF103" s="1">
        <f t="shared" si="4"/>
        <v>0</v>
      </c>
      <c r="AG103" s="1">
        <f t="shared" si="5"/>
        <v>0</v>
      </c>
    </row>
    <row r="104" spans="1:33" s="1" customFormat="1" x14ac:dyDescent="0.25">
      <c r="A104" s="1" t="s">
        <v>13</v>
      </c>
      <c r="B104" s="1" t="s">
        <v>236</v>
      </c>
      <c r="C104" s="1" t="s">
        <v>407</v>
      </c>
      <c r="D104" s="1" t="s">
        <v>133</v>
      </c>
      <c r="E104" s="1" t="s">
        <v>235</v>
      </c>
      <c r="H104" s="1" t="s">
        <v>0</v>
      </c>
      <c r="I104" s="1" t="s">
        <v>119</v>
      </c>
      <c r="Q104" s="1" t="s">
        <v>53</v>
      </c>
      <c r="S104" s="1" t="s">
        <v>448</v>
      </c>
      <c r="U104" s="1" t="s">
        <v>393</v>
      </c>
      <c r="AD104" s="1" t="s">
        <v>402</v>
      </c>
      <c r="AE104" s="1" t="str">
        <f t="shared" si="3"/>
        <v>OK</v>
      </c>
      <c r="AF104" s="1">
        <f t="shared" si="4"/>
        <v>0</v>
      </c>
      <c r="AG104" s="1">
        <f t="shared" si="5"/>
        <v>0</v>
      </c>
    </row>
    <row r="105" spans="1:33" s="1" customFormat="1" x14ac:dyDescent="0.25">
      <c r="A105" s="1" t="s">
        <v>13</v>
      </c>
      <c r="B105" s="1" t="s">
        <v>237</v>
      </c>
      <c r="C105" s="1" t="s">
        <v>407</v>
      </c>
      <c r="D105" s="1" t="s">
        <v>133</v>
      </c>
      <c r="E105" s="1" t="s">
        <v>235</v>
      </c>
      <c r="H105" s="1" t="s">
        <v>0</v>
      </c>
      <c r="I105" s="1" t="s">
        <v>119</v>
      </c>
      <c r="Q105" s="1" t="s">
        <v>53</v>
      </c>
      <c r="S105" s="1" t="s">
        <v>448</v>
      </c>
      <c r="U105" s="1" t="s">
        <v>393</v>
      </c>
      <c r="AD105" s="1" t="s">
        <v>402</v>
      </c>
      <c r="AE105" s="1" t="str">
        <f t="shared" si="3"/>
        <v>OK</v>
      </c>
      <c r="AF105" s="1">
        <f t="shared" si="4"/>
        <v>0</v>
      </c>
      <c r="AG105" s="1">
        <f t="shared" si="5"/>
        <v>0</v>
      </c>
    </row>
    <row r="106" spans="1:33" s="1" customFormat="1" x14ac:dyDescent="0.25">
      <c r="A106" s="1" t="s">
        <v>15</v>
      </c>
      <c r="B106" s="1" t="s">
        <v>242</v>
      </c>
      <c r="C106" s="1" t="s">
        <v>407</v>
      </c>
      <c r="D106" s="1" t="s">
        <v>133</v>
      </c>
      <c r="E106" s="1" t="s">
        <v>244</v>
      </c>
      <c r="H106" s="1" t="s">
        <v>125</v>
      </c>
      <c r="I106" s="1" t="s">
        <v>238</v>
      </c>
      <c r="J106" s="1" t="s">
        <v>240</v>
      </c>
      <c r="Q106" s="1" t="s">
        <v>53</v>
      </c>
      <c r="S106" s="1" t="s">
        <v>448</v>
      </c>
      <c r="U106" s="1" t="s">
        <v>393</v>
      </c>
      <c r="AD106" s="1" t="s">
        <v>402</v>
      </c>
      <c r="AE106" s="1" t="str">
        <f t="shared" si="3"/>
        <v>OK</v>
      </c>
      <c r="AF106" s="1">
        <f t="shared" si="4"/>
        <v>0</v>
      </c>
      <c r="AG106" s="1">
        <f t="shared" si="5"/>
        <v>0</v>
      </c>
    </row>
    <row r="107" spans="1:33" s="1" customFormat="1" x14ac:dyDescent="0.25">
      <c r="A107" s="1" t="s">
        <v>15</v>
      </c>
      <c r="B107" s="1" t="s">
        <v>243</v>
      </c>
      <c r="C107" s="1" t="s">
        <v>407</v>
      </c>
      <c r="D107" s="1" t="s">
        <v>133</v>
      </c>
      <c r="E107" s="1" t="s">
        <v>244</v>
      </c>
      <c r="H107" s="1" t="s">
        <v>125</v>
      </c>
      <c r="I107" s="1" t="s">
        <v>238</v>
      </c>
      <c r="J107" s="1" t="s">
        <v>241</v>
      </c>
      <c r="Q107" s="1" t="s">
        <v>53</v>
      </c>
      <c r="S107" s="1" t="s">
        <v>448</v>
      </c>
      <c r="U107" s="1" t="s">
        <v>393</v>
      </c>
      <c r="AD107" s="1" t="s">
        <v>402</v>
      </c>
      <c r="AE107" s="1" t="str">
        <f t="shared" si="3"/>
        <v>OK</v>
      </c>
      <c r="AF107" s="1">
        <f t="shared" si="4"/>
        <v>0</v>
      </c>
      <c r="AG107" s="1">
        <f t="shared" si="5"/>
        <v>0</v>
      </c>
    </row>
    <row r="108" spans="1:33" s="1" customFormat="1" x14ac:dyDescent="0.25">
      <c r="A108" s="1" t="s">
        <v>15</v>
      </c>
      <c r="B108" s="1" t="s">
        <v>242</v>
      </c>
      <c r="C108" s="1" t="s">
        <v>407</v>
      </c>
      <c r="D108" s="1" t="s">
        <v>133</v>
      </c>
      <c r="E108" s="1" t="s">
        <v>177</v>
      </c>
      <c r="H108" s="1" t="s">
        <v>125</v>
      </c>
      <c r="I108" s="1" t="s">
        <v>239</v>
      </c>
      <c r="Q108" s="1" t="s">
        <v>53</v>
      </c>
      <c r="S108" s="1" t="s">
        <v>448</v>
      </c>
      <c r="U108" s="1" t="s">
        <v>393</v>
      </c>
      <c r="AD108" s="1" t="s">
        <v>402</v>
      </c>
      <c r="AE108" s="1" t="str">
        <f t="shared" si="3"/>
        <v>OK</v>
      </c>
      <c r="AF108" s="1">
        <f t="shared" si="4"/>
        <v>0</v>
      </c>
      <c r="AG108" s="1">
        <f t="shared" si="5"/>
        <v>0</v>
      </c>
    </row>
    <row r="109" spans="1:33" s="1" customFormat="1" x14ac:dyDescent="0.25">
      <c r="A109" s="1" t="s">
        <v>15</v>
      </c>
      <c r="B109" s="1" t="s">
        <v>243</v>
      </c>
      <c r="C109" s="1" t="s">
        <v>407</v>
      </c>
      <c r="D109" s="1" t="s">
        <v>133</v>
      </c>
      <c r="E109" s="1" t="s">
        <v>177</v>
      </c>
      <c r="H109" s="1" t="s">
        <v>125</v>
      </c>
      <c r="I109" s="1" t="s">
        <v>239</v>
      </c>
      <c r="Q109" s="1" t="s">
        <v>53</v>
      </c>
      <c r="S109" s="1" t="s">
        <v>448</v>
      </c>
      <c r="U109" s="1" t="s">
        <v>393</v>
      </c>
      <c r="AD109" s="1" t="s">
        <v>402</v>
      </c>
      <c r="AE109" s="1" t="str">
        <f t="shared" si="3"/>
        <v>OK</v>
      </c>
      <c r="AF109" s="1">
        <f t="shared" si="4"/>
        <v>0</v>
      </c>
      <c r="AG109" s="1">
        <f t="shared" si="5"/>
        <v>0</v>
      </c>
    </row>
    <row r="110" spans="1:33" x14ac:dyDescent="0.25">
      <c r="A110" s="16" t="s">
        <v>66</v>
      </c>
      <c r="B110" s="16" t="s">
        <v>245</v>
      </c>
      <c r="C110" s="16" t="s">
        <v>407</v>
      </c>
      <c r="D110" s="16" t="s">
        <v>133</v>
      </c>
      <c r="E110" s="16" t="s">
        <v>129</v>
      </c>
      <c r="H110" s="16" t="s">
        <v>0</v>
      </c>
      <c r="I110" s="16" t="s">
        <v>132</v>
      </c>
      <c r="L110" s="16" t="s">
        <v>421</v>
      </c>
      <c r="M110" s="16">
        <v>1</v>
      </c>
      <c r="N110" s="16" t="s">
        <v>420</v>
      </c>
      <c r="O110" s="16" t="s">
        <v>419</v>
      </c>
      <c r="Q110" s="16" t="s">
        <v>53</v>
      </c>
      <c r="S110" s="16" t="s">
        <v>448</v>
      </c>
      <c r="U110" s="16" t="s">
        <v>394</v>
      </c>
      <c r="X110" s="16" t="s">
        <v>453</v>
      </c>
      <c r="AD110" s="16" t="s">
        <v>402</v>
      </c>
      <c r="AE110" s="16" t="str">
        <f t="shared" si="3"/>
        <v>OK</v>
      </c>
      <c r="AF110" s="16">
        <f t="shared" si="4"/>
        <v>0</v>
      </c>
      <c r="AG110" s="16">
        <f t="shared" si="5"/>
        <v>1</v>
      </c>
    </row>
    <row r="111" spans="1:33" x14ac:dyDescent="0.25">
      <c r="A111" s="16" t="s">
        <v>66</v>
      </c>
      <c r="B111" s="16" t="s">
        <v>246</v>
      </c>
      <c r="C111" s="16" t="s">
        <v>407</v>
      </c>
      <c r="D111" s="16" t="s">
        <v>133</v>
      </c>
      <c r="E111" s="16" t="s">
        <v>129</v>
      </c>
      <c r="H111" s="16" t="s">
        <v>0</v>
      </c>
      <c r="I111" s="16" t="s">
        <v>132</v>
      </c>
      <c r="L111" s="16" t="s">
        <v>421</v>
      </c>
      <c r="M111" s="16">
        <v>1</v>
      </c>
      <c r="N111" s="16" t="s">
        <v>420</v>
      </c>
      <c r="O111" s="16" t="s">
        <v>419</v>
      </c>
      <c r="Q111" s="16" t="s">
        <v>53</v>
      </c>
      <c r="S111" s="16" t="s">
        <v>448</v>
      </c>
      <c r="U111" s="16" t="s">
        <v>394</v>
      </c>
      <c r="X111" s="16" t="s">
        <v>453</v>
      </c>
      <c r="AD111" s="16" t="s">
        <v>402</v>
      </c>
      <c r="AE111" s="16" t="str">
        <f t="shared" si="3"/>
        <v>OK</v>
      </c>
      <c r="AF111" s="16">
        <f t="shared" si="4"/>
        <v>0</v>
      </c>
      <c r="AG111" s="16">
        <f t="shared" si="5"/>
        <v>1</v>
      </c>
    </row>
    <row r="112" spans="1:33" s="1" customFormat="1" x14ac:dyDescent="0.25">
      <c r="A112" s="1" t="s">
        <v>13</v>
      </c>
      <c r="B112" s="1" t="s">
        <v>247</v>
      </c>
      <c r="C112" s="1" t="s">
        <v>407</v>
      </c>
      <c r="D112" s="1" t="s">
        <v>133</v>
      </c>
      <c r="E112" s="1" t="s">
        <v>235</v>
      </c>
      <c r="H112" s="1" t="s">
        <v>0</v>
      </c>
      <c r="I112" s="1" t="s">
        <v>119</v>
      </c>
      <c r="Q112" s="1" t="s">
        <v>53</v>
      </c>
      <c r="S112" s="1" t="s">
        <v>448</v>
      </c>
      <c r="U112" s="1" t="s">
        <v>393</v>
      </c>
      <c r="AD112" s="1" t="s">
        <v>402</v>
      </c>
      <c r="AE112" s="1" t="str">
        <f t="shared" si="3"/>
        <v>OK</v>
      </c>
      <c r="AF112" s="1">
        <f t="shared" si="4"/>
        <v>0</v>
      </c>
      <c r="AG112" s="1">
        <f t="shared" si="5"/>
        <v>0</v>
      </c>
    </row>
    <row r="113" spans="1:33" s="1" customFormat="1" x14ac:dyDescent="0.25">
      <c r="A113" s="1" t="s">
        <v>427</v>
      </c>
      <c r="B113" s="1" t="s">
        <v>431</v>
      </c>
      <c r="C113" s="1" t="s">
        <v>407</v>
      </c>
      <c r="D113" s="1" t="s">
        <v>133</v>
      </c>
      <c r="E113" s="1" t="s">
        <v>433</v>
      </c>
      <c r="H113" s="1" t="s">
        <v>428</v>
      </c>
      <c r="I113" s="1" t="s">
        <v>432</v>
      </c>
      <c r="L113" s="1" t="s">
        <v>436</v>
      </c>
      <c r="Q113" s="1" t="s">
        <v>53</v>
      </c>
      <c r="S113" s="1" t="s">
        <v>448</v>
      </c>
      <c r="U113" s="1" t="s">
        <v>393</v>
      </c>
      <c r="AD113" s="1" t="s">
        <v>402</v>
      </c>
      <c r="AE113" s="1" t="str">
        <f t="shared" si="3"/>
        <v>OK</v>
      </c>
      <c r="AF113" s="1">
        <f t="shared" si="4"/>
        <v>0</v>
      </c>
      <c r="AG113" s="1">
        <f t="shared" si="5"/>
        <v>0</v>
      </c>
    </row>
    <row r="114" spans="1:33" x14ac:dyDescent="0.25">
      <c r="A114" s="16" t="s">
        <v>252</v>
      </c>
      <c r="B114" s="16" t="s">
        <v>301</v>
      </c>
      <c r="C114" s="16" t="s">
        <v>407</v>
      </c>
      <c r="D114" s="16" t="s">
        <v>133</v>
      </c>
      <c r="E114" s="16" t="s">
        <v>248</v>
      </c>
      <c r="H114" s="16" t="s">
        <v>57</v>
      </c>
      <c r="I114" s="16" t="s">
        <v>249</v>
      </c>
      <c r="J114" s="16" t="s">
        <v>251</v>
      </c>
      <c r="L114" s="16" t="s">
        <v>425</v>
      </c>
      <c r="M114" s="16" t="s">
        <v>424</v>
      </c>
      <c r="N114" s="16" t="s">
        <v>423</v>
      </c>
      <c r="Q114" s="16" t="s">
        <v>53</v>
      </c>
      <c r="S114" s="16" t="s">
        <v>448</v>
      </c>
      <c r="U114" s="16" t="s">
        <v>394</v>
      </c>
      <c r="X114" s="16" t="s">
        <v>454</v>
      </c>
      <c r="AD114" s="16" t="s">
        <v>403</v>
      </c>
      <c r="AE114" s="16" t="str">
        <f t="shared" si="3"/>
        <v>OK</v>
      </c>
      <c r="AF114" s="16">
        <f t="shared" si="4"/>
        <v>0</v>
      </c>
      <c r="AG114" s="16">
        <f t="shared" si="5"/>
        <v>1</v>
      </c>
    </row>
    <row r="115" spans="1:33" x14ac:dyDescent="0.25">
      <c r="A115" s="16" t="s">
        <v>252</v>
      </c>
      <c r="B115" s="16" t="s">
        <v>298</v>
      </c>
      <c r="C115" s="16" t="s">
        <v>407</v>
      </c>
      <c r="D115" s="16" t="s">
        <v>133</v>
      </c>
      <c r="E115" s="16" t="s">
        <v>248</v>
      </c>
      <c r="H115" s="16" t="s">
        <v>57</v>
      </c>
      <c r="I115" s="16" t="s">
        <v>250</v>
      </c>
      <c r="J115" s="16" t="s">
        <v>251</v>
      </c>
      <c r="L115" s="16" t="s">
        <v>425</v>
      </c>
      <c r="M115" s="16" t="s">
        <v>424</v>
      </c>
      <c r="N115" s="16" t="s">
        <v>423</v>
      </c>
      <c r="Q115" s="16" t="s">
        <v>53</v>
      </c>
      <c r="S115" s="16" t="s">
        <v>448</v>
      </c>
      <c r="U115" s="16" t="s">
        <v>394</v>
      </c>
      <c r="X115" s="16" t="s">
        <v>454</v>
      </c>
      <c r="AD115" s="16" t="s">
        <v>403</v>
      </c>
      <c r="AE115" s="16" t="str">
        <f t="shared" si="3"/>
        <v>OK</v>
      </c>
      <c r="AF115" s="16">
        <f t="shared" si="4"/>
        <v>0</v>
      </c>
      <c r="AG115" s="16">
        <f t="shared" si="5"/>
        <v>1</v>
      </c>
    </row>
    <row r="116" spans="1:33" x14ac:dyDescent="0.25">
      <c r="A116" s="16" t="s">
        <v>252</v>
      </c>
      <c r="B116" s="16" t="s">
        <v>300</v>
      </c>
      <c r="C116" s="16" t="s">
        <v>407</v>
      </c>
      <c r="D116" s="16" t="s">
        <v>133</v>
      </c>
      <c r="E116" s="16" t="s">
        <v>248</v>
      </c>
      <c r="H116" s="16" t="s">
        <v>57</v>
      </c>
      <c r="I116" s="16" t="s">
        <v>249</v>
      </c>
      <c r="J116" s="16" t="s">
        <v>251</v>
      </c>
      <c r="L116" s="16" t="s">
        <v>425</v>
      </c>
      <c r="M116" s="16" t="s">
        <v>424</v>
      </c>
      <c r="N116" s="16" t="s">
        <v>423</v>
      </c>
      <c r="Q116" s="16" t="s">
        <v>53</v>
      </c>
      <c r="S116" s="16" t="s">
        <v>448</v>
      </c>
      <c r="U116" s="16" t="s">
        <v>394</v>
      </c>
      <c r="X116" s="16" t="s">
        <v>454</v>
      </c>
      <c r="AD116" s="16" t="s">
        <v>403</v>
      </c>
      <c r="AE116" s="16" t="str">
        <f t="shared" si="3"/>
        <v>OK</v>
      </c>
      <c r="AF116" s="16">
        <f t="shared" si="4"/>
        <v>0</v>
      </c>
      <c r="AG116" s="16">
        <f t="shared" si="5"/>
        <v>1</v>
      </c>
    </row>
    <row r="117" spans="1:33" x14ac:dyDescent="0.25">
      <c r="A117" s="16" t="s">
        <v>252</v>
      </c>
      <c r="B117" s="16" t="s">
        <v>299</v>
      </c>
      <c r="C117" s="16" t="s">
        <v>407</v>
      </c>
      <c r="D117" s="16" t="s">
        <v>133</v>
      </c>
      <c r="E117" s="16" t="s">
        <v>248</v>
      </c>
      <c r="H117" s="16" t="s">
        <v>57</v>
      </c>
      <c r="I117" s="16" t="s">
        <v>250</v>
      </c>
      <c r="J117" s="16" t="s">
        <v>251</v>
      </c>
      <c r="L117" s="16" t="s">
        <v>425</v>
      </c>
      <c r="M117" s="16" t="s">
        <v>424</v>
      </c>
      <c r="N117" s="16" t="s">
        <v>423</v>
      </c>
      <c r="Q117" s="16" t="s">
        <v>53</v>
      </c>
      <c r="S117" s="16" t="s">
        <v>448</v>
      </c>
      <c r="U117" s="16" t="s">
        <v>394</v>
      </c>
      <c r="X117" s="16" t="s">
        <v>454</v>
      </c>
      <c r="AD117" s="16" t="s">
        <v>403</v>
      </c>
      <c r="AE117" s="16" t="str">
        <f t="shared" si="3"/>
        <v>OK</v>
      </c>
      <c r="AF117" s="16">
        <f t="shared" si="4"/>
        <v>0</v>
      </c>
      <c r="AG117" s="16">
        <f t="shared" si="5"/>
        <v>1</v>
      </c>
    </row>
    <row r="118" spans="1:33" s="1" customFormat="1" x14ac:dyDescent="0.25">
      <c r="A118" s="1" t="s">
        <v>79</v>
      </c>
      <c r="B118" s="1" t="s">
        <v>302</v>
      </c>
      <c r="C118" s="1" t="s">
        <v>407</v>
      </c>
      <c r="D118" s="1" t="s">
        <v>133</v>
      </c>
      <c r="E118" s="1" t="s">
        <v>78</v>
      </c>
      <c r="H118" s="1" t="s">
        <v>0</v>
      </c>
      <c r="I118" s="1" t="s">
        <v>75</v>
      </c>
      <c r="Q118" s="1" t="s">
        <v>53</v>
      </c>
      <c r="S118" s="1" t="s">
        <v>448</v>
      </c>
      <c r="U118" s="1" t="s">
        <v>393</v>
      </c>
      <c r="AD118" s="1" t="s">
        <v>403</v>
      </c>
      <c r="AE118" s="1" t="str">
        <f t="shared" si="3"/>
        <v>OK</v>
      </c>
      <c r="AF118" s="1">
        <f t="shared" si="4"/>
        <v>0</v>
      </c>
      <c r="AG118" s="1">
        <f t="shared" si="5"/>
        <v>0</v>
      </c>
    </row>
    <row r="119" spans="1:33" s="1" customFormat="1" x14ac:dyDescent="0.25">
      <c r="A119" s="1" t="s">
        <v>79</v>
      </c>
      <c r="B119" s="1" t="s">
        <v>305</v>
      </c>
      <c r="C119" s="1" t="s">
        <v>407</v>
      </c>
      <c r="D119" s="1" t="s">
        <v>133</v>
      </c>
      <c r="E119" s="1" t="s">
        <v>78</v>
      </c>
      <c r="H119" s="1" t="s">
        <v>0</v>
      </c>
      <c r="I119" s="1" t="s">
        <v>75</v>
      </c>
      <c r="Q119" s="1" t="s">
        <v>53</v>
      </c>
      <c r="S119" s="1" t="s">
        <v>448</v>
      </c>
      <c r="U119" s="1" t="s">
        <v>393</v>
      </c>
      <c r="AD119" s="1" t="s">
        <v>403</v>
      </c>
      <c r="AE119" s="1" t="str">
        <f t="shared" si="3"/>
        <v>OK</v>
      </c>
      <c r="AF119" s="1">
        <f t="shared" si="4"/>
        <v>0</v>
      </c>
      <c r="AG119" s="1">
        <f t="shared" si="5"/>
        <v>0</v>
      </c>
    </row>
    <row r="120" spans="1:33" s="1" customFormat="1" x14ac:dyDescent="0.25">
      <c r="A120" s="1" t="s">
        <v>79</v>
      </c>
      <c r="B120" s="1" t="s">
        <v>306</v>
      </c>
      <c r="C120" s="1" t="s">
        <v>407</v>
      </c>
      <c r="D120" s="1" t="s">
        <v>133</v>
      </c>
      <c r="E120" s="1" t="s">
        <v>78</v>
      </c>
      <c r="H120" s="1" t="s">
        <v>0</v>
      </c>
      <c r="I120" s="1" t="s">
        <v>75</v>
      </c>
      <c r="Q120" s="1" t="s">
        <v>53</v>
      </c>
      <c r="S120" s="1" t="s">
        <v>448</v>
      </c>
      <c r="U120" s="1" t="s">
        <v>393</v>
      </c>
      <c r="AD120" s="1" t="s">
        <v>403</v>
      </c>
      <c r="AE120" s="1" t="str">
        <f t="shared" si="3"/>
        <v>OK</v>
      </c>
      <c r="AF120" s="1">
        <f t="shared" si="4"/>
        <v>0</v>
      </c>
      <c r="AG120" s="1">
        <f t="shared" si="5"/>
        <v>0</v>
      </c>
    </row>
    <row r="121" spans="1:33" s="1" customFormat="1" x14ac:dyDescent="0.25">
      <c r="A121" s="1" t="s">
        <v>79</v>
      </c>
      <c r="B121" s="1" t="s">
        <v>307</v>
      </c>
      <c r="C121" s="1" t="s">
        <v>407</v>
      </c>
      <c r="D121" s="1" t="s">
        <v>133</v>
      </c>
      <c r="E121" s="1" t="s">
        <v>78</v>
      </c>
      <c r="H121" s="1" t="s">
        <v>0</v>
      </c>
      <c r="I121" s="1" t="s">
        <v>75</v>
      </c>
      <c r="Q121" s="1" t="s">
        <v>53</v>
      </c>
      <c r="S121" s="1" t="s">
        <v>448</v>
      </c>
      <c r="U121" s="1" t="s">
        <v>393</v>
      </c>
      <c r="AD121" s="1" t="s">
        <v>403</v>
      </c>
      <c r="AE121" s="1" t="str">
        <f t="shared" si="3"/>
        <v>OK</v>
      </c>
      <c r="AF121" s="1">
        <f t="shared" si="4"/>
        <v>0</v>
      </c>
      <c r="AG121" s="1">
        <f t="shared" si="5"/>
        <v>0</v>
      </c>
    </row>
    <row r="122" spans="1:33" x14ac:dyDescent="0.25">
      <c r="A122" s="16" t="s">
        <v>84</v>
      </c>
      <c r="B122" s="16" t="s">
        <v>303</v>
      </c>
      <c r="C122" s="16" t="s">
        <v>407</v>
      </c>
      <c r="D122" s="16" t="s">
        <v>133</v>
      </c>
      <c r="E122" s="16" t="s">
        <v>80</v>
      </c>
      <c r="H122" s="16" t="s">
        <v>8</v>
      </c>
      <c r="I122" s="16" t="s">
        <v>81</v>
      </c>
      <c r="M122" s="16" t="s">
        <v>422</v>
      </c>
      <c r="N122" s="16" t="s">
        <v>414</v>
      </c>
      <c r="Q122" s="16" t="s">
        <v>53</v>
      </c>
      <c r="S122" s="16" t="s">
        <v>448</v>
      </c>
      <c r="U122" s="16" t="s">
        <v>394</v>
      </c>
      <c r="X122" s="16" t="s">
        <v>452</v>
      </c>
      <c r="AD122" s="16" t="s">
        <v>403</v>
      </c>
      <c r="AE122" s="16" t="str">
        <f t="shared" si="3"/>
        <v>OK</v>
      </c>
      <c r="AF122" s="16">
        <f t="shared" si="4"/>
        <v>0</v>
      </c>
      <c r="AG122" s="16">
        <f t="shared" si="5"/>
        <v>1</v>
      </c>
    </row>
    <row r="123" spans="1:33" x14ac:dyDescent="0.25">
      <c r="A123" s="16" t="s">
        <v>84</v>
      </c>
      <c r="B123" s="16" t="s">
        <v>308</v>
      </c>
      <c r="C123" s="16" t="s">
        <v>407</v>
      </c>
      <c r="D123" s="16" t="s">
        <v>133</v>
      </c>
      <c r="E123" s="16" t="s">
        <v>80</v>
      </c>
      <c r="H123" s="16" t="s">
        <v>8</v>
      </c>
      <c r="I123" s="16" t="s">
        <v>81</v>
      </c>
      <c r="M123" s="16" t="s">
        <v>422</v>
      </c>
      <c r="N123" s="16" t="s">
        <v>414</v>
      </c>
      <c r="Q123" s="16" t="s">
        <v>53</v>
      </c>
      <c r="S123" s="16" t="s">
        <v>448</v>
      </c>
      <c r="U123" s="16" t="s">
        <v>394</v>
      </c>
      <c r="X123" s="16" t="s">
        <v>452</v>
      </c>
      <c r="AD123" s="16" t="s">
        <v>403</v>
      </c>
      <c r="AE123" s="16" t="str">
        <f t="shared" si="3"/>
        <v>OK</v>
      </c>
      <c r="AF123" s="16">
        <f t="shared" si="4"/>
        <v>0</v>
      </c>
      <c r="AG123" s="16">
        <f t="shared" si="5"/>
        <v>1</v>
      </c>
    </row>
    <row r="124" spans="1:33" s="1" customFormat="1" x14ac:dyDescent="0.25">
      <c r="A124" s="1" t="s">
        <v>255</v>
      </c>
      <c r="B124" s="1" t="s">
        <v>310</v>
      </c>
      <c r="C124" s="1" t="s">
        <v>407</v>
      </c>
      <c r="D124" s="1" t="s">
        <v>133</v>
      </c>
      <c r="E124" s="1" t="s">
        <v>256</v>
      </c>
      <c r="H124" s="1" t="s">
        <v>254</v>
      </c>
      <c r="I124" s="1" t="s">
        <v>253</v>
      </c>
      <c r="J124" s="1">
        <v>13327</v>
      </c>
      <c r="Q124" s="1" t="s">
        <v>53</v>
      </c>
      <c r="S124" s="1" t="s">
        <v>448</v>
      </c>
      <c r="U124" s="1" t="s">
        <v>393</v>
      </c>
      <c r="AD124" s="1" t="s">
        <v>403</v>
      </c>
      <c r="AE124" s="1" t="str">
        <f t="shared" si="3"/>
        <v>OK</v>
      </c>
      <c r="AF124" s="1">
        <f t="shared" si="4"/>
        <v>0</v>
      </c>
      <c r="AG124" s="1">
        <f t="shared" si="5"/>
        <v>0</v>
      </c>
    </row>
    <row r="125" spans="1:33" s="1" customFormat="1" x14ac:dyDescent="0.25">
      <c r="A125" s="1" t="s">
        <v>1</v>
      </c>
      <c r="B125" s="1" t="s">
        <v>304</v>
      </c>
      <c r="C125" s="1" t="s">
        <v>407</v>
      </c>
      <c r="D125" s="1" t="s">
        <v>133</v>
      </c>
      <c r="E125" s="1" t="s">
        <v>109</v>
      </c>
      <c r="H125" s="1" t="s">
        <v>0</v>
      </c>
      <c r="I125" s="1" t="s">
        <v>91</v>
      </c>
      <c r="Q125" s="1" t="s">
        <v>53</v>
      </c>
      <c r="S125" s="1" t="s">
        <v>448</v>
      </c>
      <c r="U125" s="1" t="s">
        <v>393</v>
      </c>
      <c r="AD125" s="1" t="s">
        <v>403</v>
      </c>
      <c r="AE125" s="1" t="str">
        <f t="shared" si="3"/>
        <v>OK</v>
      </c>
      <c r="AF125" s="1">
        <f t="shared" si="4"/>
        <v>0</v>
      </c>
      <c r="AG125" s="1">
        <f t="shared" si="5"/>
        <v>0</v>
      </c>
    </row>
    <row r="126" spans="1:33" s="1" customFormat="1" x14ac:dyDescent="0.25">
      <c r="A126" s="1" t="s">
        <v>1</v>
      </c>
      <c r="B126" s="1" t="s">
        <v>315</v>
      </c>
      <c r="C126" s="1" t="s">
        <v>407</v>
      </c>
      <c r="D126" s="1" t="s">
        <v>133</v>
      </c>
      <c r="E126" s="1" t="s">
        <v>109</v>
      </c>
      <c r="H126" s="1" t="s">
        <v>0</v>
      </c>
      <c r="I126" s="1" t="s">
        <v>91</v>
      </c>
      <c r="Q126" s="1" t="s">
        <v>53</v>
      </c>
      <c r="S126" s="1" t="s">
        <v>448</v>
      </c>
      <c r="U126" s="1" t="s">
        <v>393</v>
      </c>
      <c r="AD126" s="1" t="s">
        <v>403</v>
      </c>
      <c r="AE126" s="1" t="str">
        <f t="shared" si="3"/>
        <v>OK</v>
      </c>
      <c r="AF126" s="1">
        <f t="shared" si="4"/>
        <v>0</v>
      </c>
      <c r="AG126" s="1">
        <f t="shared" si="5"/>
        <v>0</v>
      </c>
    </row>
    <row r="127" spans="1:33" s="1" customFormat="1" x14ac:dyDescent="0.25">
      <c r="A127" s="1" t="s">
        <v>1</v>
      </c>
      <c r="B127" s="1" t="s">
        <v>316</v>
      </c>
      <c r="C127" s="1" t="s">
        <v>407</v>
      </c>
      <c r="D127" s="1" t="s">
        <v>133</v>
      </c>
      <c r="E127" s="1" t="s">
        <v>257</v>
      </c>
      <c r="H127" s="1" t="s">
        <v>0</v>
      </c>
      <c r="I127" s="1" t="s">
        <v>91</v>
      </c>
      <c r="Q127" s="1" t="s">
        <v>53</v>
      </c>
      <c r="S127" s="1" t="s">
        <v>448</v>
      </c>
      <c r="U127" s="1" t="s">
        <v>393</v>
      </c>
      <c r="AD127" s="1" t="s">
        <v>403</v>
      </c>
      <c r="AE127" s="1" t="str">
        <f t="shared" si="3"/>
        <v>OK</v>
      </c>
      <c r="AF127" s="1">
        <f t="shared" si="4"/>
        <v>0</v>
      </c>
      <c r="AG127" s="1">
        <f t="shared" si="5"/>
        <v>0</v>
      </c>
    </row>
    <row r="128" spans="1:33" s="1" customFormat="1" x14ac:dyDescent="0.25">
      <c r="A128" s="1" t="s">
        <v>1</v>
      </c>
      <c r="B128" s="1" t="s">
        <v>317</v>
      </c>
      <c r="C128" s="1" t="s">
        <v>407</v>
      </c>
      <c r="D128" s="1" t="s">
        <v>133</v>
      </c>
      <c r="E128" s="1" t="s">
        <v>257</v>
      </c>
      <c r="H128" s="1" t="s">
        <v>0</v>
      </c>
      <c r="I128" s="1" t="s">
        <v>91</v>
      </c>
      <c r="Q128" s="1" t="s">
        <v>53</v>
      </c>
      <c r="S128" s="1" t="s">
        <v>448</v>
      </c>
      <c r="U128" s="1" t="s">
        <v>393</v>
      </c>
      <c r="AD128" s="1" t="s">
        <v>403</v>
      </c>
      <c r="AE128" s="1" t="str">
        <f t="shared" si="3"/>
        <v>OK</v>
      </c>
      <c r="AF128" s="1">
        <f t="shared" si="4"/>
        <v>0</v>
      </c>
      <c r="AG128" s="1">
        <f t="shared" si="5"/>
        <v>0</v>
      </c>
    </row>
    <row r="129" spans="1:33" s="1" customFormat="1" x14ac:dyDescent="0.25">
      <c r="A129" s="1" t="s">
        <v>1</v>
      </c>
      <c r="B129" s="1" t="s">
        <v>311</v>
      </c>
      <c r="C129" s="1" t="s">
        <v>407</v>
      </c>
      <c r="D129" s="1" t="s">
        <v>133</v>
      </c>
      <c r="E129" s="1" t="s">
        <v>106</v>
      </c>
      <c r="H129" s="1" t="s">
        <v>0</v>
      </c>
      <c r="I129" s="1" t="s">
        <v>107</v>
      </c>
      <c r="Q129" s="1" t="s">
        <v>53</v>
      </c>
      <c r="S129" s="1" t="s">
        <v>448</v>
      </c>
      <c r="U129" s="1" t="s">
        <v>393</v>
      </c>
      <c r="AD129" s="1" t="s">
        <v>403</v>
      </c>
      <c r="AE129" s="1" t="str">
        <f t="shared" si="3"/>
        <v>OK</v>
      </c>
      <c r="AF129" s="1">
        <f t="shared" si="4"/>
        <v>0</v>
      </c>
      <c r="AG129" s="1">
        <f t="shared" si="5"/>
        <v>0</v>
      </c>
    </row>
    <row r="130" spans="1:33" s="1" customFormat="1" x14ac:dyDescent="0.25">
      <c r="A130" s="1" t="s">
        <v>1</v>
      </c>
      <c r="B130" s="1" t="s">
        <v>312</v>
      </c>
      <c r="C130" s="1" t="s">
        <v>407</v>
      </c>
      <c r="D130" s="1" t="s">
        <v>133</v>
      </c>
      <c r="E130" s="1" t="s">
        <v>106</v>
      </c>
      <c r="H130" s="1" t="s">
        <v>0</v>
      </c>
      <c r="I130" s="1" t="s">
        <v>107</v>
      </c>
      <c r="Q130" s="1" t="s">
        <v>53</v>
      </c>
      <c r="S130" s="1" t="s">
        <v>448</v>
      </c>
      <c r="U130" s="1" t="s">
        <v>393</v>
      </c>
      <c r="AD130" s="1" t="s">
        <v>403</v>
      </c>
      <c r="AE130" s="1" t="str">
        <f t="shared" ref="AE130:AE193" si="6">IF(TRIM(B130)="","PENDENTE","OK")</f>
        <v>OK</v>
      </c>
      <c r="AF130" s="1">
        <f t="shared" ref="AF130:AF193" si="7">IF(AE130="PENDENTE",1,0)</f>
        <v>0</v>
      </c>
      <c r="AG130" s="1">
        <f t="shared" ref="AG130:AG193" si="8">IF(LEFT(UPPER(TRIM(U130)),3)="SIM",1,0)</f>
        <v>0</v>
      </c>
    </row>
    <row r="131" spans="1:33" s="1" customFormat="1" x14ac:dyDescent="0.25">
      <c r="A131" s="1" t="s">
        <v>1</v>
      </c>
      <c r="B131" s="1" t="s">
        <v>313</v>
      </c>
      <c r="C131" s="1" t="s">
        <v>407</v>
      </c>
      <c r="D131" s="1" t="s">
        <v>133</v>
      </c>
      <c r="E131" s="1" t="s">
        <v>108</v>
      </c>
      <c r="H131" s="1" t="s">
        <v>0</v>
      </c>
      <c r="I131" s="1" t="s">
        <v>107</v>
      </c>
      <c r="Q131" s="1" t="s">
        <v>53</v>
      </c>
      <c r="S131" s="1" t="s">
        <v>448</v>
      </c>
      <c r="U131" s="1" t="s">
        <v>393</v>
      </c>
      <c r="AD131" s="1" t="s">
        <v>403</v>
      </c>
      <c r="AE131" s="1" t="str">
        <f t="shared" si="6"/>
        <v>OK</v>
      </c>
      <c r="AF131" s="1">
        <f t="shared" si="7"/>
        <v>0</v>
      </c>
      <c r="AG131" s="1">
        <f t="shared" si="8"/>
        <v>0</v>
      </c>
    </row>
    <row r="132" spans="1:33" s="1" customFormat="1" x14ac:dyDescent="0.25">
      <c r="A132" s="1" t="s">
        <v>1</v>
      </c>
      <c r="B132" s="1" t="s">
        <v>314</v>
      </c>
      <c r="C132" s="1" t="s">
        <v>407</v>
      </c>
      <c r="D132" s="1" t="s">
        <v>133</v>
      </c>
      <c r="E132" s="1" t="s">
        <v>108</v>
      </c>
      <c r="H132" s="1" t="s">
        <v>0</v>
      </c>
      <c r="I132" s="1" t="s">
        <v>107</v>
      </c>
      <c r="Q132" s="1" t="s">
        <v>53</v>
      </c>
      <c r="S132" s="1" t="s">
        <v>448</v>
      </c>
      <c r="U132" s="1" t="s">
        <v>393</v>
      </c>
      <c r="AD132" s="1" t="s">
        <v>403</v>
      </c>
      <c r="AE132" s="1" t="str">
        <f t="shared" si="6"/>
        <v>OK</v>
      </c>
      <c r="AF132" s="1">
        <f t="shared" si="7"/>
        <v>0</v>
      </c>
      <c r="AG132" s="1">
        <f t="shared" si="8"/>
        <v>0</v>
      </c>
    </row>
    <row r="133" spans="1:33" s="1" customFormat="1" x14ac:dyDescent="0.25">
      <c r="A133" s="1" t="s">
        <v>1</v>
      </c>
      <c r="B133" s="1" t="s">
        <v>318</v>
      </c>
      <c r="C133" s="1" t="s">
        <v>407</v>
      </c>
      <c r="D133" s="1" t="s">
        <v>133</v>
      </c>
      <c r="E133" s="1" t="s">
        <v>258</v>
      </c>
      <c r="H133" s="1" t="s">
        <v>0</v>
      </c>
      <c r="I133" s="1" t="s">
        <v>91</v>
      </c>
      <c r="Q133" s="1" t="s">
        <v>53</v>
      </c>
      <c r="S133" s="1" t="s">
        <v>448</v>
      </c>
      <c r="U133" s="1" t="s">
        <v>393</v>
      </c>
      <c r="AD133" s="1" t="s">
        <v>403</v>
      </c>
      <c r="AE133" s="1" t="str">
        <f t="shared" si="6"/>
        <v>OK</v>
      </c>
      <c r="AF133" s="1">
        <f t="shared" si="7"/>
        <v>0</v>
      </c>
      <c r="AG133" s="1">
        <f t="shared" si="8"/>
        <v>0</v>
      </c>
    </row>
    <row r="134" spans="1:33" s="1" customFormat="1" x14ac:dyDescent="0.25">
      <c r="A134" s="1" t="s">
        <v>1</v>
      </c>
      <c r="B134" s="1" t="s">
        <v>319</v>
      </c>
      <c r="C134" s="1" t="s">
        <v>407</v>
      </c>
      <c r="D134" s="1" t="s">
        <v>133</v>
      </c>
      <c r="E134" s="1" t="s">
        <v>258</v>
      </c>
      <c r="H134" s="1" t="s">
        <v>0</v>
      </c>
      <c r="I134" s="1" t="s">
        <v>91</v>
      </c>
      <c r="Q134" s="1" t="s">
        <v>53</v>
      </c>
      <c r="S134" s="1" t="s">
        <v>448</v>
      </c>
      <c r="U134" s="1" t="s">
        <v>393</v>
      </c>
      <c r="AD134" s="1" t="s">
        <v>403</v>
      </c>
      <c r="AE134" s="1" t="str">
        <f t="shared" si="6"/>
        <v>OK</v>
      </c>
      <c r="AF134" s="1">
        <f t="shared" si="7"/>
        <v>0</v>
      </c>
      <c r="AG134" s="1">
        <f t="shared" si="8"/>
        <v>0</v>
      </c>
    </row>
    <row r="135" spans="1:33" s="1" customFormat="1" x14ac:dyDescent="0.25">
      <c r="A135" s="1" t="s">
        <v>1</v>
      </c>
      <c r="B135" s="1" t="s">
        <v>320</v>
      </c>
      <c r="C135" s="1" t="s">
        <v>407</v>
      </c>
      <c r="D135" s="1" t="s">
        <v>133</v>
      </c>
      <c r="E135" s="1" t="s">
        <v>106</v>
      </c>
      <c r="H135" s="1" t="s">
        <v>0</v>
      </c>
      <c r="I135" s="1" t="s">
        <v>107</v>
      </c>
      <c r="Q135" s="1" t="s">
        <v>53</v>
      </c>
      <c r="S135" s="1" t="s">
        <v>448</v>
      </c>
      <c r="U135" s="1" t="s">
        <v>393</v>
      </c>
      <c r="AD135" s="1" t="s">
        <v>403</v>
      </c>
      <c r="AE135" s="1" t="str">
        <f t="shared" si="6"/>
        <v>OK</v>
      </c>
      <c r="AF135" s="1">
        <f t="shared" si="7"/>
        <v>0</v>
      </c>
      <c r="AG135" s="1">
        <f t="shared" si="8"/>
        <v>0</v>
      </c>
    </row>
    <row r="136" spans="1:33" s="1" customFormat="1" x14ac:dyDescent="0.25">
      <c r="A136" s="1" t="s">
        <v>1</v>
      </c>
      <c r="B136" s="1" t="s">
        <v>321</v>
      </c>
      <c r="C136" s="1" t="s">
        <v>407</v>
      </c>
      <c r="D136" s="1" t="s">
        <v>261</v>
      </c>
      <c r="E136" s="1" t="s">
        <v>106</v>
      </c>
      <c r="H136" s="1" t="s">
        <v>0</v>
      </c>
      <c r="I136" s="1" t="s">
        <v>107</v>
      </c>
      <c r="Q136" s="1" t="s">
        <v>53</v>
      </c>
      <c r="S136" s="1" t="s">
        <v>448</v>
      </c>
      <c r="U136" s="1" t="s">
        <v>393</v>
      </c>
      <c r="AD136" s="1" t="s">
        <v>403</v>
      </c>
      <c r="AE136" s="1" t="str">
        <f t="shared" si="6"/>
        <v>OK</v>
      </c>
      <c r="AF136" s="1">
        <f t="shared" si="7"/>
        <v>0</v>
      </c>
      <c r="AG136" s="1">
        <f t="shared" si="8"/>
        <v>0</v>
      </c>
    </row>
    <row r="137" spans="1:33" s="1" customFormat="1" x14ac:dyDescent="0.25">
      <c r="A137" s="1" t="s">
        <v>1</v>
      </c>
      <c r="B137" s="1" t="s">
        <v>322</v>
      </c>
      <c r="C137" s="1" t="s">
        <v>407</v>
      </c>
      <c r="D137" s="1" t="s">
        <v>261</v>
      </c>
      <c r="E137" s="1" t="s">
        <v>108</v>
      </c>
      <c r="H137" s="1" t="s">
        <v>0</v>
      </c>
      <c r="I137" s="1" t="s">
        <v>107</v>
      </c>
      <c r="Q137" s="1" t="s">
        <v>53</v>
      </c>
      <c r="S137" s="1" t="s">
        <v>448</v>
      </c>
      <c r="U137" s="1" t="s">
        <v>393</v>
      </c>
      <c r="AD137" s="1" t="s">
        <v>403</v>
      </c>
      <c r="AE137" s="1" t="str">
        <f t="shared" si="6"/>
        <v>OK</v>
      </c>
      <c r="AF137" s="1">
        <f t="shared" si="7"/>
        <v>0</v>
      </c>
      <c r="AG137" s="1">
        <f t="shared" si="8"/>
        <v>0</v>
      </c>
    </row>
    <row r="138" spans="1:33" s="1" customFormat="1" x14ac:dyDescent="0.25">
      <c r="A138" s="1" t="s">
        <v>1</v>
      </c>
      <c r="B138" s="1" t="s">
        <v>323</v>
      </c>
      <c r="C138" s="1" t="s">
        <v>407</v>
      </c>
      <c r="D138" s="1" t="s">
        <v>261</v>
      </c>
      <c r="E138" s="1" t="s">
        <v>108</v>
      </c>
      <c r="H138" s="1" t="s">
        <v>0</v>
      </c>
      <c r="I138" s="1" t="s">
        <v>107</v>
      </c>
      <c r="Q138" s="1" t="s">
        <v>53</v>
      </c>
      <c r="S138" s="1" t="s">
        <v>448</v>
      </c>
      <c r="U138" s="1" t="s">
        <v>393</v>
      </c>
      <c r="AD138" s="1" t="s">
        <v>403</v>
      </c>
      <c r="AE138" s="1" t="str">
        <f t="shared" si="6"/>
        <v>OK</v>
      </c>
      <c r="AF138" s="1">
        <f t="shared" si="7"/>
        <v>0</v>
      </c>
      <c r="AG138" s="1">
        <f t="shared" si="8"/>
        <v>0</v>
      </c>
    </row>
    <row r="139" spans="1:33" s="1" customFormat="1" x14ac:dyDescent="0.25">
      <c r="A139" s="1" t="s">
        <v>1</v>
      </c>
      <c r="B139" s="1" t="s">
        <v>324</v>
      </c>
      <c r="C139" s="1" t="s">
        <v>407</v>
      </c>
      <c r="D139" s="1" t="s">
        <v>261</v>
      </c>
      <c r="E139" s="1" t="s">
        <v>259</v>
      </c>
      <c r="H139" s="1" t="s">
        <v>0</v>
      </c>
      <c r="I139" s="1" t="s">
        <v>260</v>
      </c>
      <c r="Q139" s="1" t="s">
        <v>53</v>
      </c>
      <c r="S139" s="1" t="s">
        <v>448</v>
      </c>
      <c r="U139" s="1" t="s">
        <v>393</v>
      </c>
      <c r="AD139" s="1" t="s">
        <v>403</v>
      </c>
      <c r="AE139" s="1" t="str">
        <f t="shared" si="6"/>
        <v>OK</v>
      </c>
      <c r="AF139" s="1">
        <f t="shared" si="7"/>
        <v>0</v>
      </c>
      <c r="AG139" s="1">
        <f t="shared" si="8"/>
        <v>0</v>
      </c>
    </row>
    <row r="140" spans="1:33" s="1" customFormat="1" x14ac:dyDescent="0.25">
      <c r="A140" s="1" t="s">
        <v>1</v>
      </c>
      <c r="B140" s="1" t="s">
        <v>325</v>
      </c>
      <c r="C140" s="1" t="s">
        <v>407</v>
      </c>
      <c r="D140" s="1" t="s">
        <v>133</v>
      </c>
      <c r="E140" s="1" t="s">
        <v>262</v>
      </c>
      <c r="H140" s="1" t="s">
        <v>0</v>
      </c>
      <c r="I140" s="1" t="s">
        <v>107</v>
      </c>
      <c r="Q140" s="1" t="s">
        <v>53</v>
      </c>
      <c r="S140" s="1" t="s">
        <v>448</v>
      </c>
      <c r="U140" s="1" t="s">
        <v>393</v>
      </c>
      <c r="AD140" s="1" t="s">
        <v>403</v>
      </c>
      <c r="AE140" s="1" t="str">
        <f t="shared" si="6"/>
        <v>OK</v>
      </c>
      <c r="AF140" s="1">
        <f t="shared" si="7"/>
        <v>0</v>
      </c>
      <c r="AG140" s="1">
        <f t="shared" si="8"/>
        <v>0</v>
      </c>
    </row>
    <row r="141" spans="1:33" s="1" customFormat="1" x14ac:dyDescent="0.25">
      <c r="A141" s="1" t="s">
        <v>1</v>
      </c>
      <c r="B141" s="1" t="s">
        <v>326</v>
      </c>
      <c r="C141" s="1" t="s">
        <v>407</v>
      </c>
      <c r="D141" s="1" t="s">
        <v>133</v>
      </c>
      <c r="E141" s="1" t="s">
        <v>110</v>
      </c>
      <c r="H141" s="1" t="s">
        <v>0</v>
      </c>
      <c r="I141" s="1" t="s">
        <v>111</v>
      </c>
      <c r="Q141" s="1" t="s">
        <v>53</v>
      </c>
      <c r="S141" s="1" t="s">
        <v>448</v>
      </c>
      <c r="U141" s="1" t="s">
        <v>393</v>
      </c>
      <c r="AD141" s="1" t="s">
        <v>403</v>
      </c>
      <c r="AE141" s="1" t="str">
        <f t="shared" si="6"/>
        <v>OK</v>
      </c>
      <c r="AF141" s="1">
        <f t="shared" si="7"/>
        <v>0</v>
      </c>
      <c r="AG141" s="1">
        <f t="shared" si="8"/>
        <v>0</v>
      </c>
    </row>
    <row r="142" spans="1:33" s="1" customFormat="1" x14ac:dyDescent="0.25">
      <c r="A142" s="1" t="s">
        <v>1</v>
      </c>
      <c r="B142" s="1" t="s">
        <v>327</v>
      </c>
      <c r="C142" s="1" t="s">
        <v>407</v>
      </c>
      <c r="D142" s="1" t="s">
        <v>133</v>
      </c>
      <c r="E142" s="1" t="s">
        <v>110</v>
      </c>
      <c r="H142" s="1" t="s">
        <v>0</v>
      </c>
      <c r="I142" s="1" t="s">
        <v>111</v>
      </c>
      <c r="Q142" s="1" t="s">
        <v>53</v>
      </c>
      <c r="S142" s="1" t="s">
        <v>448</v>
      </c>
      <c r="U142" s="1" t="s">
        <v>393</v>
      </c>
      <c r="AD142" s="1" t="s">
        <v>403</v>
      </c>
      <c r="AE142" s="1" t="str">
        <f t="shared" si="6"/>
        <v>OK</v>
      </c>
      <c r="AF142" s="1">
        <f t="shared" si="7"/>
        <v>0</v>
      </c>
      <c r="AG142" s="1">
        <f t="shared" si="8"/>
        <v>0</v>
      </c>
    </row>
    <row r="143" spans="1:33" s="1" customFormat="1" x14ac:dyDescent="0.25">
      <c r="A143" s="1" t="s">
        <v>1</v>
      </c>
      <c r="B143" s="1" t="s">
        <v>328</v>
      </c>
      <c r="C143" s="1" t="s">
        <v>407</v>
      </c>
      <c r="D143" s="1" t="s">
        <v>133</v>
      </c>
      <c r="E143" s="1" t="s">
        <v>262</v>
      </c>
      <c r="H143" s="1" t="s">
        <v>0</v>
      </c>
      <c r="I143" s="1" t="s">
        <v>107</v>
      </c>
      <c r="Q143" s="1" t="s">
        <v>53</v>
      </c>
      <c r="S143" s="1" t="s">
        <v>448</v>
      </c>
      <c r="U143" s="1" t="s">
        <v>393</v>
      </c>
      <c r="AD143" s="1" t="s">
        <v>403</v>
      </c>
      <c r="AE143" s="1" t="str">
        <f t="shared" si="6"/>
        <v>OK</v>
      </c>
      <c r="AF143" s="1">
        <f t="shared" si="7"/>
        <v>0</v>
      </c>
      <c r="AG143" s="1">
        <f t="shared" si="8"/>
        <v>0</v>
      </c>
    </row>
    <row r="144" spans="1:33" s="1" customFormat="1" x14ac:dyDescent="0.25">
      <c r="A144" s="1" t="s">
        <v>1</v>
      </c>
      <c r="B144" s="1" t="s">
        <v>309</v>
      </c>
      <c r="C144" s="1" t="s">
        <v>407</v>
      </c>
      <c r="D144" s="1" t="s">
        <v>133</v>
      </c>
      <c r="E144" s="1" t="s">
        <v>109</v>
      </c>
      <c r="H144" s="1" t="s">
        <v>0</v>
      </c>
      <c r="I144" s="1" t="s">
        <v>91</v>
      </c>
      <c r="Q144" s="1" t="s">
        <v>53</v>
      </c>
      <c r="S144" s="1" t="s">
        <v>448</v>
      </c>
      <c r="U144" s="1" t="s">
        <v>393</v>
      </c>
      <c r="AD144" s="1" t="s">
        <v>403</v>
      </c>
      <c r="AE144" s="1" t="str">
        <f t="shared" si="6"/>
        <v>OK</v>
      </c>
      <c r="AF144" s="1">
        <f t="shared" si="7"/>
        <v>0</v>
      </c>
      <c r="AG144" s="1">
        <f t="shared" si="8"/>
        <v>0</v>
      </c>
    </row>
    <row r="145" spans="1:33" s="1" customFormat="1" x14ac:dyDescent="0.25">
      <c r="A145" s="1" t="s">
        <v>1</v>
      </c>
      <c r="B145" s="1" t="s">
        <v>329</v>
      </c>
      <c r="C145" s="1" t="s">
        <v>407</v>
      </c>
      <c r="D145" s="1" t="s">
        <v>133</v>
      </c>
      <c r="E145" s="1" t="s">
        <v>109</v>
      </c>
      <c r="H145" s="1" t="s">
        <v>0</v>
      </c>
      <c r="I145" s="1" t="s">
        <v>91</v>
      </c>
      <c r="Q145" s="1" t="s">
        <v>53</v>
      </c>
      <c r="S145" s="1" t="s">
        <v>448</v>
      </c>
      <c r="U145" s="1" t="s">
        <v>393</v>
      </c>
      <c r="AD145" s="1" t="s">
        <v>403</v>
      </c>
      <c r="AE145" s="1" t="str">
        <f t="shared" si="6"/>
        <v>OK</v>
      </c>
      <c r="AF145" s="1">
        <f t="shared" si="7"/>
        <v>0</v>
      </c>
      <c r="AG145" s="1">
        <f t="shared" si="8"/>
        <v>0</v>
      </c>
    </row>
    <row r="146" spans="1:33" s="1" customFormat="1" x14ac:dyDescent="0.25">
      <c r="A146" s="1" t="s">
        <v>1</v>
      </c>
      <c r="B146" s="1" t="s">
        <v>330</v>
      </c>
      <c r="C146" s="1" t="s">
        <v>407</v>
      </c>
      <c r="D146" s="1" t="s">
        <v>133</v>
      </c>
      <c r="E146" s="1" t="s">
        <v>257</v>
      </c>
      <c r="H146" s="1" t="s">
        <v>0</v>
      </c>
      <c r="I146" s="1" t="s">
        <v>91</v>
      </c>
      <c r="Q146" s="1" t="s">
        <v>53</v>
      </c>
      <c r="S146" s="1" t="s">
        <v>448</v>
      </c>
      <c r="U146" s="1" t="s">
        <v>393</v>
      </c>
      <c r="AD146" s="1" t="s">
        <v>403</v>
      </c>
      <c r="AE146" s="1" t="str">
        <f t="shared" si="6"/>
        <v>OK</v>
      </c>
      <c r="AF146" s="1">
        <f t="shared" si="7"/>
        <v>0</v>
      </c>
      <c r="AG146" s="1">
        <f t="shared" si="8"/>
        <v>0</v>
      </c>
    </row>
    <row r="147" spans="1:33" s="1" customFormat="1" x14ac:dyDescent="0.25">
      <c r="A147" s="1" t="s">
        <v>1</v>
      </c>
      <c r="B147" s="1" t="s">
        <v>331</v>
      </c>
      <c r="C147" s="1" t="s">
        <v>407</v>
      </c>
      <c r="D147" s="1" t="s">
        <v>133</v>
      </c>
      <c r="E147" s="1" t="s">
        <v>257</v>
      </c>
      <c r="H147" s="1" t="s">
        <v>0</v>
      </c>
      <c r="I147" s="1" t="s">
        <v>91</v>
      </c>
      <c r="Q147" s="1" t="s">
        <v>53</v>
      </c>
      <c r="S147" s="1" t="s">
        <v>448</v>
      </c>
      <c r="U147" s="1" t="s">
        <v>393</v>
      </c>
      <c r="AD147" s="1" t="s">
        <v>403</v>
      </c>
      <c r="AE147" s="1" t="str">
        <f t="shared" si="6"/>
        <v>OK</v>
      </c>
      <c r="AF147" s="1">
        <f t="shared" si="7"/>
        <v>0</v>
      </c>
      <c r="AG147" s="1">
        <f t="shared" si="8"/>
        <v>0</v>
      </c>
    </row>
    <row r="148" spans="1:33" s="1" customFormat="1" x14ac:dyDescent="0.25">
      <c r="A148" s="1" t="s">
        <v>1</v>
      </c>
      <c r="B148" s="1" t="s">
        <v>332</v>
      </c>
      <c r="C148" s="1" t="s">
        <v>407</v>
      </c>
      <c r="D148" s="1" t="s">
        <v>133</v>
      </c>
      <c r="E148" s="1" t="s">
        <v>106</v>
      </c>
      <c r="H148" s="1" t="s">
        <v>0</v>
      </c>
      <c r="I148" s="1" t="s">
        <v>107</v>
      </c>
      <c r="Q148" s="1" t="s">
        <v>53</v>
      </c>
      <c r="S148" s="1" t="s">
        <v>448</v>
      </c>
      <c r="U148" s="1" t="s">
        <v>393</v>
      </c>
      <c r="AD148" s="1" t="s">
        <v>403</v>
      </c>
      <c r="AE148" s="1" t="str">
        <f t="shared" si="6"/>
        <v>OK</v>
      </c>
      <c r="AF148" s="1">
        <f t="shared" si="7"/>
        <v>0</v>
      </c>
      <c r="AG148" s="1">
        <f t="shared" si="8"/>
        <v>0</v>
      </c>
    </row>
    <row r="149" spans="1:33" s="1" customFormat="1" x14ac:dyDescent="0.25">
      <c r="A149" s="1" t="s">
        <v>1</v>
      </c>
      <c r="B149" s="1" t="s">
        <v>333</v>
      </c>
      <c r="C149" s="1" t="s">
        <v>407</v>
      </c>
      <c r="D149" s="1" t="s">
        <v>133</v>
      </c>
      <c r="E149" s="1" t="s">
        <v>106</v>
      </c>
      <c r="H149" s="1" t="s">
        <v>0</v>
      </c>
      <c r="I149" s="1" t="s">
        <v>107</v>
      </c>
      <c r="Q149" s="1" t="s">
        <v>53</v>
      </c>
      <c r="S149" s="1" t="s">
        <v>448</v>
      </c>
      <c r="U149" s="1" t="s">
        <v>393</v>
      </c>
      <c r="AD149" s="1" t="s">
        <v>403</v>
      </c>
      <c r="AE149" s="1" t="str">
        <f t="shared" si="6"/>
        <v>OK</v>
      </c>
      <c r="AF149" s="1">
        <f t="shared" si="7"/>
        <v>0</v>
      </c>
      <c r="AG149" s="1">
        <f t="shared" si="8"/>
        <v>0</v>
      </c>
    </row>
    <row r="150" spans="1:33" s="1" customFormat="1" x14ac:dyDescent="0.25">
      <c r="A150" s="1" t="s">
        <v>1</v>
      </c>
      <c r="B150" s="1" t="s">
        <v>334</v>
      </c>
      <c r="C150" s="1" t="s">
        <v>407</v>
      </c>
      <c r="D150" s="1" t="s">
        <v>133</v>
      </c>
      <c r="E150" s="1" t="s">
        <v>108</v>
      </c>
      <c r="H150" s="1" t="s">
        <v>0</v>
      </c>
      <c r="I150" s="1" t="s">
        <v>107</v>
      </c>
      <c r="Q150" s="1" t="s">
        <v>53</v>
      </c>
      <c r="S150" s="1" t="s">
        <v>448</v>
      </c>
      <c r="U150" s="1" t="s">
        <v>393</v>
      </c>
      <c r="AD150" s="1" t="s">
        <v>403</v>
      </c>
      <c r="AE150" s="1" t="str">
        <f t="shared" si="6"/>
        <v>OK</v>
      </c>
      <c r="AF150" s="1">
        <f t="shared" si="7"/>
        <v>0</v>
      </c>
      <c r="AG150" s="1">
        <f t="shared" si="8"/>
        <v>0</v>
      </c>
    </row>
    <row r="151" spans="1:33" s="1" customFormat="1" x14ac:dyDescent="0.25">
      <c r="A151" s="1" t="s">
        <v>1</v>
      </c>
      <c r="B151" s="1" t="s">
        <v>335</v>
      </c>
      <c r="C151" s="1" t="s">
        <v>407</v>
      </c>
      <c r="D151" s="1" t="s">
        <v>133</v>
      </c>
      <c r="E151" s="1" t="s">
        <v>108</v>
      </c>
      <c r="H151" s="1" t="s">
        <v>0</v>
      </c>
      <c r="I151" s="1" t="s">
        <v>107</v>
      </c>
      <c r="Q151" s="1" t="s">
        <v>53</v>
      </c>
      <c r="S151" s="1" t="s">
        <v>448</v>
      </c>
      <c r="U151" s="1" t="s">
        <v>393</v>
      </c>
      <c r="AD151" s="1" t="s">
        <v>403</v>
      </c>
      <c r="AE151" s="1" t="str">
        <f t="shared" si="6"/>
        <v>OK</v>
      </c>
      <c r="AF151" s="1">
        <f t="shared" si="7"/>
        <v>0</v>
      </c>
      <c r="AG151" s="1">
        <f t="shared" si="8"/>
        <v>0</v>
      </c>
    </row>
    <row r="152" spans="1:33" s="1" customFormat="1" x14ac:dyDescent="0.25">
      <c r="A152" s="1" t="s">
        <v>1</v>
      </c>
      <c r="B152" s="1" t="s">
        <v>336</v>
      </c>
      <c r="C152" s="1" t="s">
        <v>407</v>
      </c>
      <c r="D152" s="1" t="s">
        <v>133</v>
      </c>
      <c r="E152" s="1" t="s">
        <v>258</v>
      </c>
      <c r="H152" s="1" t="s">
        <v>0</v>
      </c>
      <c r="I152" s="1" t="s">
        <v>91</v>
      </c>
      <c r="Q152" s="1" t="s">
        <v>53</v>
      </c>
      <c r="S152" s="1" t="s">
        <v>448</v>
      </c>
      <c r="U152" s="1" t="s">
        <v>393</v>
      </c>
      <c r="AD152" s="1" t="s">
        <v>403</v>
      </c>
      <c r="AE152" s="1" t="str">
        <f t="shared" si="6"/>
        <v>OK</v>
      </c>
      <c r="AF152" s="1">
        <f t="shared" si="7"/>
        <v>0</v>
      </c>
      <c r="AG152" s="1">
        <f t="shared" si="8"/>
        <v>0</v>
      </c>
    </row>
    <row r="153" spans="1:33" s="1" customFormat="1" x14ac:dyDescent="0.25">
      <c r="A153" s="1" t="s">
        <v>1</v>
      </c>
      <c r="B153" s="1" t="s">
        <v>337</v>
      </c>
      <c r="C153" s="1" t="s">
        <v>407</v>
      </c>
      <c r="D153" s="1" t="s">
        <v>133</v>
      </c>
      <c r="E153" s="1" t="s">
        <v>258</v>
      </c>
      <c r="H153" s="1" t="s">
        <v>0</v>
      </c>
      <c r="I153" s="1" t="s">
        <v>91</v>
      </c>
      <c r="Q153" s="1" t="s">
        <v>53</v>
      </c>
      <c r="S153" s="1" t="s">
        <v>448</v>
      </c>
      <c r="U153" s="1" t="s">
        <v>393</v>
      </c>
      <c r="AD153" s="1" t="s">
        <v>403</v>
      </c>
      <c r="AE153" s="1" t="str">
        <f t="shared" si="6"/>
        <v>OK</v>
      </c>
      <c r="AF153" s="1">
        <f t="shared" si="7"/>
        <v>0</v>
      </c>
      <c r="AG153" s="1">
        <f t="shared" si="8"/>
        <v>0</v>
      </c>
    </row>
    <row r="154" spans="1:33" s="1" customFormat="1" x14ac:dyDescent="0.25">
      <c r="A154" s="1" t="s">
        <v>1</v>
      </c>
      <c r="B154" s="1" t="s">
        <v>338</v>
      </c>
      <c r="C154" s="1" t="s">
        <v>407</v>
      </c>
      <c r="D154" s="1" t="s">
        <v>133</v>
      </c>
      <c r="E154" s="1" t="s">
        <v>106</v>
      </c>
      <c r="H154" s="1" t="s">
        <v>0</v>
      </c>
      <c r="I154" s="1" t="s">
        <v>107</v>
      </c>
      <c r="Q154" s="1" t="s">
        <v>53</v>
      </c>
      <c r="S154" s="1" t="s">
        <v>448</v>
      </c>
      <c r="U154" s="1" t="s">
        <v>393</v>
      </c>
      <c r="AD154" s="1" t="s">
        <v>403</v>
      </c>
      <c r="AE154" s="1" t="str">
        <f t="shared" si="6"/>
        <v>OK</v>
      </c>
      <c r="AF154" s="1">
        <f t="shared" si="7"/>
        <v>0</v>
      </c>
      <c r="AG154" s="1">
        <f t="shared" si="8"/>
        <v>0</v>
      </c>
    </row>
    <row r="155" spans="1:33" s="1" customFormat="1" x14ac:dyDescent="0.25">
      <c r="A155" s="1" t="s">
        <v>1</v>
      </c>
      <c r="B155" s="1" t="s">
        <v>339</v>
      </c>
      <c r="C155" s="1" t="s">
        <v>407</v>
      </c>
      <c r="D155" s="1" t="s">
        <v>133</v>
      </c>
      <c r="E155" s="1" t="s">
        <v>262</v>
      </c>
      <c r="H155" s="1" t="s">
        <v>0</v>
      </c>
      <c r="I155" s="1" t="s">
        <v>107</v>
      </c>
      <c r="Q155" s="1" t="s">
        <v>53</v>
      </c>
      <c r="S155" s="1" t="s">
        <v>448</v>
      </c>
      <c r="U155" s="1" t="s">
        <v>393</v>
      </c>
      <c r="AD155" s="1" t="s">
        <v>403</v>
      </c>
      <c r="AE155" s="1" t="str">
        <f t="shared" si="6"/>
        <v>OK</v>
      </c>
      <c r="AF155" s="1">
        <f t="shared" si="7"/>
        <v>0</v>
      </c>
      <c r="AG155" s="1">
        <f t="shared" si="8"/>
        <v>0</v>
      </c>
    </row>
    <row r="156" spans="1:33" s="1" customFormat="1" x14ac:dyDescent="0.25">
      <c r="A156" s="1" t="s">
        <v>1</v>
      </c>
      <c r="B156" s="1" t="s">
        <v>340</v>
      </c>
      <c r="C156" s="1" t="s">
        <v>407</v>
      </c>
      <c r="D156" s="1" t="s">
        <v>133</v>
      </c>
      <c r="E156" s="1" t="s">
        <v>110</v>
      </c>
      <c r="H156" s="1" t="s">
        <v>0</v>
      </c>
      <c r="I156" s="1" t="s">
        <v>111</v>
      </c>
      <c r="Q156" s="1" t="s">
        <v>53</v>
      </c>
      <c r="S156" s="1" t="s">
        <v>448</v>
      </c>
      <c r="U156" s="1" t="s">
        <v>393</v>
      </c>
      <c r="AD156" s="1" t="s">
        <v>403</v>
      </c>
      <c r="AE156" s="1" t="str">
        <f t="shared" si="6"/>
        <v>OK</v>
      </c>
      <c r="AF156" s="1">
        <f t="shared" si="7"/>
        <v>0</v>
      </c>
      <c r="AG156" s="1">
        <f t="shared" si="8"/>
        <v>0</v>
      </c>
    </row>
    <row r="157" spans="1:33" s="1" customFormat="1" x14ac:dyDescent="0.25">
      <c r="A157" s="1" t="s">
        <v>1</v>
      </c>
      <c r="B157" s="1" t="s">
        <v>341</v>
      </c>
      <c r="C157" s="1" t="s">
        <v>407</v>
      </c>
      <c r="D157" s="1" t="s">
        <v>133</v>
      </c>
      <c r="E157" s="1" t="s">
        <v>110</v>
      </c>
      <c r="H157" s="1" t="s">
        <v>0</v>
      </c>
      <c r="I157" s="1" t="s">
        <v>111</v>
      </c>
      <c r="Q157" s="1" t="s">
        <v>53</v>
      </c>
      <c r="S157" s="1" t="s">
        <v>448</v>
      </c>
      <c r="U157" s="1" t="s">
        <v>393</v>
      </c>
      <c r="AD157" s="1" t="s">
        <v>403</v>
      </c>
      <c r="AE157" s="1" t="str">
        <f t="shared" si="6"/>
        <v>OK</v>
      </c>
      <c r="AF157" s="1">
        <f t="shared" si="7"/>
        <v>0</v>
      </c>
      <c r="AG157" s="1">
        <f t="shared" si="8"/>
        <v>0</v>
      </c>
    </row>
    <row r="158" spans="1:33" s="1" customFormat="1" x14ac:dyDescent="0.25">
      <c r="A158" s="1" t="s">
        <v>1</v>
      </c>
      <c r="B158" s="1" t="s">
        <v>342</v>
      </c>
      <c r="C158" s="1" t="s">
        <v>407</v>
      </c>
      <c r="D158" s="1" t="s">
        <v>133</v>
      </c>
      <c r="E158" s="1" t="s">
        <v>263</v>
      </c>
      <c r="H158" s="1" t="s">
        <v>0</v>
      </c>
      <c r="I158" s="1" t="s">
        <v>107</v>
      </c>
      <c r="Q158" s="1" t="s">
        <v>53</v>
      </c>
      <c r="S158" s="1" t="s">
        <v>448</v>
      </c>
      <c r="U158" s="1" t="s">
        <v>393</v>
      </c>
      <c r="AD158" s="1" t="s">
        <v>403</v>
      </c>
      <c r="AE158" s="1" t="str">
        <f t="shared" si="6"/>
        <v>OK</v>
      </c>
      <c r="AF158" s="1">
        <f t="shared" si="7"/>
        <v>0</v>
      </c>
      <c r="AG158" s="1">
        <f t="shared" si="8"/>
        <v>0</v>
      </c>
    </row>
    <row r="159" spans="1:33" x14ac:dyDescent="0.25">
      <c r="A159" s="16" t="s">
        <v>117</v>
      </c>
      <c r="B159" s="16" t="s">
        <v>343</v>
      </c>
      <c r="C159" s="16" t="s">
        <v>407</v>
      </c>
      <c r="D159" s="16" t="s">
        <v>133</v>
      </c>
      <c r="E159" s="16" t="s">
        <v>265</v>
      </c>
      <c r="H159" s="16" t="s">
        <v>115</v>
      </c>
      <c r="I159" s="16" t="s">
        <v>264</v>
      </c>
      <c r="L159" s="16" t="s">
        <v>418</v>
      </c>
      <c r="M159" s="16" t="s">
        <v>417</v>
      </c>
      <c r="N159" s="16" t="s">
        <v>416</v>
      </c>
      <c r="Q159" s="16" t="s">
        <v>53</v>
      </c>
      <c r="S159" s="16" t="s">
        <v>448</v>
      </c>
      <c r="U159" s="16" t="s">
        <v>394</v>
      </c>
      <c r="X159" s="16" t="s">
        <v>452</v>
      </c>
      <c r="AD159" s="16" t="s">
        <v>403</v>
      </c>
      <c r="AE159" s="16" t="str">
        <f t="shared" si="6"/>
        <v>OK</v>
      </c>
      <c r="AF159" s="16">
        <f t="shared" si="7"/>
        <v>0</v>
      </c>
      <c r="AG159" s="16">
        <f t="shared" si="8"/>
        <v>1</v>
      </c>
    </row>
    <row r="160" spans="1:33" x14ac:dyDescent="0.25">
      <c r="A160" s="16" t="s">
        <v>117</v>
      </c>
      <c r="B160" s="16" t="s">
        <v>344</v>
      </c>
      <c r="C160" s="16" t="s">
        <v>407</v>
      </c>
      <c r="D160" s="16" t="s">
        <v>133</v>
      </c>
      <c r="E160" s="16" t="s">
        <v>265</v>
      </c>
      <c r="H160" s="16" t="s">
        <v>115</v>
      </c>
      <c r="I160" s="16" t="s">
        <v>264</v>
      </c>
      <c r="L160" s="16" t="s">
        <v>418</v>
      </c>
      <c r="M160" s="16" t="s">
        <v>417</v>
      </c>
      <c r="N160" s="16" t="s">
        <v>416</v>
      </c>
      <c r="Q160" s="16" t="s">
        <v>53</v>
      </c>
      <c r="S160" s="16" t="s">
        <v>448</v>
      </c>
      <c r="U160" s="16" t="s">
        <v>394</v>
      </c>
      <c r="X160" s="16" t="s">
        <v>452</v>
      </c>
      <c r="AD160" s="16" t="s">
        <v>403</v>
      </c>
      <c r="AE160" s="16" t="str">
        <f t="shared" si="6"/>
        <v>OK</v>
      </c>
      <c r="AF160" s="16">
        <f t="shared" si="7"/>
        <v>0</v>
      </c>
      <c r="AG160" s="16">
        <f t="shared" si="8"/>
        <v>1</v>
      </c>
    </row>
    <row r="161" spans="1:33" s="1" customFormat="1" x14ac:dyDescent="0.25">
      <c r="A161" s="1" t="s">
        <v>159</v>
      </c>
      <c r="B161" s="1" t="s">
        <v>345</v>
      </c>
      <c r="C161" s="1" t="s">
        <v>407</v>
      </c>
      <c r="D161" s="1" t="s">
        <v>133</v>
      </c>
      <c r="E161" s="1" t="s">
        <v>158</v>
      </c>
      <c r="H161" s="1" t="s">
        <v>57</v>
      </c>
      <c r="I161" s="1" t="s">
        <v>160</v>
      </c>
      <c r="Q161" s="1" t="s">
        <v>53</v>
      </c>
      <c r="S161" s="1" t="s">
        <v>448</v>
      </c>
      <c r="U161" s="1" t="s">
        <v>393</v>
      </c>
      <c r="AD161" s="1" t="s">
        <v>403</v>
      </c>
      <c r="AE161" s="1" t="str">
        <f t="shared" si="6"/>
        <v>OK</v>
      </c>
      <c r="AF161" s="1">
        <f t="shared" si="7"/>
        <v>0</v>
      </c>
      <c r="AG161" s="1">
        <f t="shared" si="8"/>
        <v>0</v>
      </c>
    </row>
    <row r="162" spans="1:33" s="1" customFormat="1" x14ac:dyDescent="0.25">
      <c r="A162" s="1" t="s">
        <v>159</v>
      </c>
      <c r="B162" s="1" t="s">
        <v>346</v>
      </c>
      <c r="C162" s="1" t="s">
        <v>407</v>
      </c>
      <c r="D162" s="1" t="s">
        <v>133</v>
      </c>
      <c r="E162" s="1" t="s">
        <v>158</v>
      </c>
      <c r="H162" s="1" t="s">
        <v>57</v>
      </c>
      <c r="I162" s="1" t="s">
        <v>160</v>
      </c>
      <c r="Q162" s="1" t="s">
        <v>53</v>
      </c>
      <c r="S162" s="1" t="s">
        <v>448</v>
      </c>
      <c r="U162" s="1" t="s">
        <v>393</v>
      </c>
      <c r="AD162" s="1" t="s">
        <v>403</v>
      </c>
      <c r="AE162" s="1" t="str">
        <f t="shared" si="6"/>
        <v>OK</v>
      </c>
      <c r="AF162" s="1">
        <f t="shared" si="7"/>
        <v>0</v>
      </c>
      <c r="AG162" s="1">
        <f t="shared" si="8"/>
        <v>0</v>
      </c>
    </row>
    <row r="163" spans="1:33" s="1" customFormat="1" x14ac:dyDescent="0.25">
      <c r="A163" s="1" t="s">
        <v>13</v>
      </c>
      <c r="B163" s="1" t="s">
        <v>347</v>
      </c>
      <c r="C163" s="1" t="s">
        <v>407</v>
      </c>
      <c r="D163" s="1" t="s">
        <v>133</v>
      </c>
      <c r="E163" s="1" t="s">
        <v>118</v>
      </c>
      <c r="H163" s="1" t="s">
        <v>0</v>
      </c>
      <c r="I163" s="1" t="s">
        <v>119</v>
      </c>
      <c r="Q163" s="1" t="s">
        <v>53</v>
      </c>
      <c r="S163" s="1" t="s">
        <v>448</v>
      </c>
      <c r="U163" s="1" t="s">
        <v>393</v>
      </c>
      <c r="AD163" s="1" t="s">
        <v>403</v>
      </c>
      <c r="AE163" s="1" t="str">
        <f t="shared" si="6"/>
        <v>OK</v>
      </c>
      <c r="AF163" s="1">
        <f t="shared" si="7"/>
        <v>0</v>
      </c>
      <c r="AG163" s="1">
        <f t="shared" si="8"/>
        <v>0</v>
      </c>
    </row>
    <row r="164" spans="1:33" s="1" customFormat="1" x14ac:dyDescent="0.25">
      <c r="A164" s="1" t="s">
        <v>13</v>
      </c>
      <c r="B164" s="1" t="s">
        <v>348</v>
      </c>
      <c r="C164" s="1" t="s">
        <v>407</v>
      </c>
      <c r="D164" s="1" t="s">
        <v>133</v>
      </c>
      <c r="E164" s="1" t="s">
        <v>118</v>
      </c>
      <c r="H164" s="1" t="s">
        <v>0</v>
      </c>
      <c r="I164" s="1" t="s">
        <v>119</v>
      </c>
      <c r="Q164" s="1" t="s">
        <v>53</v>
      </c>
      <c r="S164" s="1" t="s">
        <v>448</v>
      </c>
      <c r="U164" s="1" t="s">
        <v>393</v>
      </c>
      <c r="AD164" s="1" t="s">
        <v>403</v>
      </c>
      <c r="AE164" s="1" t="str">
        <f t="shared" si="6"/>
        <v>OK</v>
      </c>
      <c r="AF164" s="1">
        <f t="shared" si="7"/>
        <v>0</v>
      </c>
      <c r="AG164" s="1">
        <f t="shared" si="8"/>
        <v>0</v>
      </c>
    </row>
    <row r="165" spans="1:33" s="1" customFormat="1" x14ac:dyDescent="0.25">
      <c r="A165" s="1" t="s">
        <v>13</v>
      </c>
      <c r="B165" s="1" t="s">
        <v>349</v>
      </c>
      <c r="C165" s="1" t="s">
        <v>407</v>
      </c>
      <c r="D165" s="1" t="s">
        <v>133</v>
      </c>
      <c r="E165" s="1" t="s">
        <v>266</v>
      </c>
      <c r="H165" s="1" t="s">
        <v>0</v>
      </c>
      <c r="I165" s="1" t="s">
        <v>119</v>
      </c>
      <c r="Q165" s="1" t="s">
        <v>53</v>
      </c>
      <c r="S165" s="1" t="s">
        <v>448</v>
      </c>
      <c r="U165" s="1" t="s">
        <v>393</v>
      </c>
      <c r="AD165" s="1" t="s">
        <v>403</v>
      </c>
      <c r="AE165" s="1" t="str">
        <f t="shared" si="6"/>
        <v>OK</v>
      </c>
      <c r="AF165" s="1">
        <f t="shared" si="7"/>
        <v>0</v>
      </c>
      <c r="AG165" s="1">
        <f t="shared" si="8"/>
        <v>0</v>
      </c>
    </row>
    <row r="166" spans="1:33" s="1" customFormat="1" x14ac:dyDescent="0.25">
      <c r="A166" s="1" t="s">
        <v>13</v>
      </c>
      <c r="B166" s="1" t="s">
        <v>350</v>
      </c>
      <c r="C166" s="1" t="s">
        <v>407</v>
      </c>
      <c r="D166" s="1" t="s">
        <v>133</v>
      </c>
      <c r="E166" s="1" t="s">
        <v>118</v>
      </c>
      <c r="H166" s="1" t="s">
        <v>0</v>
      </c>
      <c r="I166" s="1" t="s">
        <v>119</v>
      </c>
      <c r="Q166" s="1" t="s">
        <v>53</v>
      </c>
      <c r="S166" s="1" t="s">
        <v>448</v>
      </c>
      <c r="U166" s="1" t="s">
        <v>393</v>
      </c>
      <c r="AD166" s="1" t="s">
        <v>403</v>
      </c>
      <c r="AE166" s="1" t="str">
        <f t="shared" si="6"/>
        <v>OK</v>
      </c>
      <c r="AF166" s="1">
        <f t="shared" si="7"/>
        <v>0</v>
      </c>
      <c r="AG166" s="1">
        <f t="shared" si="8"/>
        <v>0</v>
      </c>
    </row>
    <row r="167" spans="1:33" s="1" customFormat="1" x14ac:dyDescent="0.25">
      <c r="A167" s="1" t="s">
        <v>13</v>
      </c>
      <c r="B167" s="1" t="s">
        <v>360</v>
      </c>
      <c r="C167" s="1" t="s">
        <v>407</v>
      </c>
      <c r="D167" s="1" t="s">
        <v>133</v>
      </c>
      <c r="E167" s="1" t="s">
        <v>118</v>
      </c>
      <c r="H167" s="1" t="s">
        <v>0</v>
      </c>
      <c r="I167" s="1" t="s">
        <v>119</v>
      </c>
      <c r="Q167" s="1" t="s">
        <v>53</v>
      </c>
      <c r="S167" s="1" t="s">
        <v>448</v>
      </c>
      <c r="U167" s="1" t="s">
        <v>393</v>
      </c>
      <c r="AD167" s="1" t="s">
        <v>403</v>
      </c>
      <c r="AE167" s="1" t="str">
        <f t="shared" si="6"/>
        <v>OK</v>
      </c>
      <c r="AF167" s="1">
        <f t="shared" si="7"/>
        <v>0</v>
      </c>
      <c r="AG167" s="1">
        <f t="shared" si="8"/>
        <v>0</v>
      </c>
    </row>
    <row r="168" spans="1:33" s="1" customFormat="1" x14ac:dyDescent="0.25">
      <c r="A168" s="1" t="s">
        <v>13</v>
      </c>
      <c r="B168" s="1" t="s">
        <v>356</v>
      </c>
      <c r="C168" s="1" t="s">
        <v>407</v>
      </c>
      <c r="D168" s="1" t="s">
        <v>133</v>
      </c>
      <c r="E168" s="1" t="s">
        <v>118</v>
      </c>
      <c r="H168" s="1" t="s">
        <v>0</v>
      </c>
      <c r="I168" s="1" t="s">
        <v>119</v>
      </c>
      <c r="Q168" s="1" t="s">
        <v>53</v>
      </c>
      <c r="S168" s="1" t="s">
        <v>448</v>
      </c>
      <c r="U168" s="1" t="s">
        <v>393</v>
      </c>
      <c r="AD168" s="1" t="s">
        <v>403</v>
      </c>
      <c r="AE168" s="1" t="str">
        <f t="shared" si="6"/>
        <v>OK</v>
      </c>
      <c r="AF168" s="1">
        <f t="shared" si="7"/>
        <v>0</v>
      </c>
      <c r="AG168" s="1">
        <f t="shared" si="8"/>
        <v>0</v>
      </c>
    </row>
    <row r="169" spans="1:33" s="1" customFormat="1" x14ac:dyDescent="0.25">
      <c r="A169" s="1" t="s">
        <v>13</v>
      </c>
      <c r="B169" s="1" t="s">
        <v>353</v>
      </c>
      <c r="C169" s="1" t="s">
        <v>407</v>
      </c>
      <c r="D169" s="1" t="s">
        <v>133</v>
      </c>
      <c r="E169" s="1" t="s">
        <v>118</v>
      </c>
      <c r="H169" s="1" t="s">
        <v>0</v>
      </c>
      <c r="I169" s="1" t="s">
        <v>119</v>
      </c>
      <c r="Q169" s="1" t="s">
        <v>53</v>
      </c>
      <c r="S169" s="1" t="s">
        <v>448</v>
      </c>
      <c r="U169" s="1" t="s">
        <v>393</v>
      </c>
      <c r="AD169" s="1" t="s">
        <v>403</v>
      </c>
      <c r="AE169" s="1" t="str">
        <f t="shared" si="6"/>
        <v>OK</v>
      </c>
      <c r="AF169" s="1">
        <f t="shared" si="7"/>
        <v>0</v>
      </c>
      <c r="AG169" s="1">
        <f t="shared" si="8"/>
        <v>0</v>
      </c>
    </row>
    <row r="170" spans="1:33" s="1" customFormat="1" x14ac:dyDescent="0.25">
      <c r="A170" s="1" t="s">
        <v>13</v>
      </c>
      <c r="B170" s="1" t="s">
        <v>352</v>
      </c>
      <c r="C170" s="1" t="s">
        <v>407</v>
      </c>
      <c r="D170" s="1" t="s">
        <v>133</v>
      </c>
      <c r="E170" s="1" t="s">
        <v>266</v>
      </c>
      <c r="H170" s="1" t="s">
        <v>0</v>
      </c>
      <c r="I170" s="1" t="s">
        <v>119</v>
      </c>
      <c r="Q170" s="1" t="s">
        <v>53</v>
      </c>
      <c r="S170" s="1" t="s">
        <v>448</v>
      </c>
      <c r="U170" s="1" t="s">
        <v>393</v>
      </c>
      <c r="AD170" s="1" t="s">
        <v>403</v>
      </c>
      <c r="AE170" s="1" t="str">
        <f t="shared" si="6"/>
        <v>OK</v>
      </c>
      <c r="AF170" s="1">
        <f t="shared" si="7"/>
        <v>0</v>
      </c>
      <c r="AG170" s="1">
        <f t="shared" si="8"/>
        <v>0</v>
      </c>
    </row>
    <row r="171" spans="1:33" s="1" customFormat="1" x14ac:dyDescent="0.25">
      <c r="A171" s="1" t="s">
        <v>13</v>
      </c>
      <c r="B171" s="1" t="s">
        <v>359</v>
      </c>
      <c r="C171" s="1" t="s">
        <v>407</v>
      </c>
      <c r="D171" s="1" t="s">
        <v>133</v>
      </c>
      <c r="E171" s="1" t="s">
        <v>118</v>
      </c>
      <c r="H171" s="1" t="s">
        <v>0</v>
      </c>
      <c r="I171" s="1" t="s">
        <v>119</v>
      </c>
      <c r="Q171" s="1" t="s">
        <v>53</v>
      </c>
      <c r="S171" s="1" t="s">
        <v>448</v>
      </c>
      <c r="U171" s="1" t="s">
        <v>393</v>
      </c>
      <c r="AD171" s="1" t="s">
        <v>403</v>
      </c>
      <c r="AE171" s="1" t="str">
        <f t="shared" si="6"/>
        <v>OK</v>
      </c>
      <c r="AF171" s="1">
        <f t="shared" si="7"/>
        <v>0</v>
      </c>
      <c r="AG171" s="1">
        <f t="shared" si="8"/>
        <v>0</v>
      </c>
    </row>
    <row r="172" spans="1:33" s="1" customFormat="1" x14ac:dyDescent="0.25">
      <c r="A172" s="1" t="s">
        <v>13</v>
      </c>
      <c r="B172" s="1" t="s">
        <v>351</v>
      </c>
      <c r="C172" s="1" t="s">
        <v>407</v>
      </c>
      <c r="D172" s="1" t="s">
        <v>133</v>
      </c>
      <c r="E172" s="1" t="s">
        <v>118</v>
      </c>
      <c r="H172" s="1" t="s">
        <v>0</v>
      </c>
      <c r="I172" s="1" t="s">
        <v>119</v>
      </c>
      <c r="Q172" s="1" t="s">
        <v>53</v>
      </c>
      <c r="S172" s="1" t="s">
        <v>448</v>
      </c>
      <c r="U172" s="1" t="s">
        <v>393</v>
      </c>
      <c r="AD172" s="1" t="s">
        <v>403</v>
      </c>
      <c r="AE172" s="1" t="str">
        <f t="shared" si="6"/>
        <v>OK</v>
      </c>
      <c r="AF172" s="1">
        <f t="shared" si="7"/>
        <v>0</v>
      </c>
      <c r="AG172" s="1">
        <f t="shared" si="8"/>
        <v>0</v>
      </c>
    </row>
    <row r="173" spans="1:33" s="1" customFormat="1" x14ac:dyDescent="0.25">
      <c r="A173" s="1" t="s">
        <v>15</v>
      </c>
      <c r="B173" s="1" t="s">
        <v>361</v>
      </c>
      <c r="C173" s="1" t="s">
        <v>407</v>
      </c>
      <c r="D173" s="1" t="s">
        <v>133</v>
      </c>
      <c r="E173" s="1" t="s">
        <v>272</v>
      </c>
      <c r="H173" s="1" t="s">
        <v>125</v>
      </c>
      <c r="I173" s="1" t="s">
        <v>267</v>
      </c>
      <c r="J173" s="1" t="s">
        <v>268</v>
      </c>
      <c r="Q173" s="1" t="s">
        <v>53</v>
      </c>
      <c r="S173" s="1" t="s">
        <v>448</v>
      </c>
      <c r="U173" s="1" t="s">
        <v>393</v>
      </c>
      <c r="AD173" s="1" t="s">
        <v>403</v>
      </c>
      <c r="AE173" s="1" t="str">
        <f t="shared" si="6"/>
        <v>OK</v>
      </c>
      <c r="AF173" s="1">
        <f t="shared" si="7"/>
        <v>0</v>
      </c>
      <c r="AG173" s="1">
        <f t="shared" si="8"/>
        <v>0</v>
      </c>
    </row>
    <row r="174" spans="1:33" s="1" customFormat="1" x14ac:dyDescent="0.25">
      <c r="A174" s="1" t="s">
        <v>15</v>
      </c>
      <c r="B174" s="1" t="s">
        <v>362</v>
      </c>
      <c r="C174" s="1" t="s">
        <v>407</v>
      </c>
      <c r="D174" s="1" t="s">
        <v>133</v>
      </c>
      <c r="E174" s="1" t="s">
        <v>272</v>
      </c>
      <c r="H174" s="1" t="s">
        <v>125</v>
      </c>
      <c r="I174" s="1" t="s">
        <v>267</v>
      </c>
      <c r="J174" s="1" t="s">
        <v>269</v>
      </c>
      <c r="Q174" s="1" t="s">
        <v>53</v>
      </c>
      <c r="S174" s="1" t="s">
        <v>448</v>
      </c>
      <c r="U174" s="1" t="s">
        <v>393</v>
      </c>
      <c r="AD174" s="1" t="s">
        <v>403</v>
      </c>
      <c r="AE174" s="1" t="str">
        <f t="shared" si="6"/>
        <v>OK</v>
      </c>
      <c r="AF174" s="1">
        <f t="shared" si="7"/>
        <v>0</v>
      </c>
      <c r="AG174" s="1">
        <f t="shared" si="8"/>
        <v>0</v>
      </c>
    </row>
    <row r="175" spans="1:33" s="1" customFormat="1" x14ac:dyDescent="0.25">
      <c r="A175" s="1" t="s">
        <v>15</v>
      </c>
      <c r="B175" s="1" t="s">
        <v>357</v>
      </c>
      <c r="C175" s="1" t="s">
        <v>407</v>
      </c>
      <c r="D175" s="1" t="s">
        <v>133</v>
      </c>
      <c r="E175" s="1" t="s">
        <v>272</v>
      </c>
      <c r="H175" s="1" t="s">
        <v>125</v>
      </c>
      <c r="I175" s="1" t="s">
        <v>267</v>
      </c>
      <c r="J175" s="1" t="s">
        <v>270</v>
      </c>
      <c r="Q175" s="1" t="s">
        <v>53</v>
      </c>
      <c r="S175" s="1" t="s">
        <v>448</v>
      </c>
      <c r="U175" s="1" t="s">
        <v>393</v>
      </c>
      <c r="AD175" s="1" t="s">
        <v>403</v>
      </c>
      <c r="AE175" s="1" t="str">
        <f t="shared" si="6"/>
        <v>OK</v>
      </c>
      <c r="AF175" s="1">
        <f t="shared" si="7"/>
        <v>0</v>
      </c>
      <c r="AG175" s="1">
        <f t="shared" si="8"/>
        <v>0</v>
      </c>
    </row>
    <row r="176" spans="1:33" s="1" customFormat="1" x14ac:dyDescent="0.25">
      <c r="A176" s="1" t="s">
        <v>15</v>
      </c>
      <c r="B176" s="1" t="s">
        <v>354</v>
      </c>
      <c r="C176" s="1" t="s">
        <v>407</v>
      </c>
      <c r="D176" s="1" t="s">
        <v>133</v>
      </c>
      <c r="E176" s="1" t="s">
        <v>272</v>
      </c>
      <c r="H176" s="1" t="s">
        <v>125</v>
      </c>
      <c r="I176" s="1" t="s">
        <v>267</v>
      </c>
      <c r="J176" s="1" t="s">
        <v>271</v>
      </c>
      <c r="Q176" s="1" t="s">
        <v>53</v>
      </c>
      <c r="S176" s="1" t="s">
        <v>448</v>
      </c>
      <c r="U176" s="1" t="s">
        <v>393</v>
      </c>
      <c r="AD176" s="1" t="s">
        <v>403</v>
      </c>
      <c r="AE176" s="1" t="str">
        <f t="shared" si="6"/>
        <v>OK</v>
      </c>
      <c r="AF176" s="1">
        <f t="shared" si="7"/>
        <v>0</v>
      </c>
      <c r="AG176" s="1">
        <f t="shared" si="8"/>
        <v>0</v>
      </c>
    </row>
    <row r="177" spans="1:33" x14ac:dyDescent="0.25">
      <c r="A177" s="16" t="s">
        <v>66</v>
      </c>
      <c r="B177" s="16" t="s">
        <v>363</v>
      </c>
      <c r="C177" s="16" t="s">
        <v>407</v>
      </c>
      <c r="D177" s="16" t="s">
        <v>133</v>
      </c>
      <c r="E177" s="16" t="s">
        <v>129</v>
      </c>
      <c r="H177" s="16" t="s">
        <v>0</v>
      </c>
      <c r="I177" s="16" t="s">
        <v>273</v>
      </c>
      <c r="L177" s="16" t="s">
        <v>421</v>
      </c>
      <c r="M177" s="16">
        <v>1</v>
      </c>
      <c r="N177" s="16" t="s">
        <v>420</v>
      </c>
      <c r="O177" s="16" t="s">
        <v>419</v>
      </c>
      <c r="Q177" s="16" t="s">
        <v>53</v>
      </c>
      <c r="S177" s="16" t="s">
        <v>448</v>
      </c>
      <c r="U177" s="16" t="s">
        <v>394</v>
      </c>
      <c r="X177" s="16" t="s">
        <v>453</v>
      </c>
      <c r="AD177" s="16" t="s">
        <v>403</v>
      </c>
      <c r="AE177" s="16" t="str">
        <f t="shared" si="6"/>
        <v>OK</v>
      </c>
      <c r="AF177" s="16">
        <f t="shared" si="7"/>
        <v>0</v>
      </c>
      <c r="AG177" s="16">
        <f t="shared" si="8"/>
        <v>1</v>
      </c>
    </row>
    <row r="178" spans="1:33" x14ac:dyDescent="0.25">
      <c r="A178" s="16" t="s">
        <v>66</v>
      </c>
      <c r="B178" s="16" t="s">
        <v>364</v>
      </c>
      <c r="C178" s="16" t="s">
        <v>407</v>
      </c>
      <c r="D178" s="16" t="s">
        <v>133</v>
      </c>
      <c r="E178" s="16" t="s">
        <v>129</v>
      </c>
      <c r="H178" s="16" t="s">
        <v>0</v>
      </c>
      <c r="I178" s="16" t="s">
        <v>273</v>
      </c>
      <c r="L178" s="16" t="s">
        <v>421</v>
      </c>
      <c r="M178" s="16">
        <v>1</v>
      </c>
      <c r="N178" s="16" t="s">
        <v>420</v>
      </c>
      <c r="O178" s="16" t="s">
        <v>419</v>
      </c>
      <c r="Q178" s="16" t="s">
        <v>53</v>
      </c>
      <c r="S178" s="16" t="s">
        <v>448</v>
      </c>
      <c r="U178" s="16" t="s">
        <v>394</v>
      </c>
      <c r="X178" s="16" t="s">
        <v>453</v>
      </c>
      <c r="AD178" s="16" t="s">
        <v>403</v>
      </c>
      <c r="AE178" s="16" t="str">
        <f t="shared" si="6"/>
        <v>OK</v>
      </c>
      <c r="AF178" s="16">
        <f t="shared" si="7"/>
        <v>0</v>
      </c>
      <c r="AG178" s="16">
        <f t="shared" si="8"/>
        <v>1</v>
      </c>
    </row>
    <row r="179" spans="1:33" x14ac:dyDescent="0.25">
      <c r="A179" s="16" t="s">
        <v>66</v>
      </c>
      <c r="B179" s="16" t="s">
        <v>365</v>
      </c>
      <c r="C179" s="16" t="s">
        <v>407</v>
      </c>
      <c r="D179" s="16" t="s">
        <v>261</v>
      </c>
      <c r="E179" s="16" t="s">
        <v>129</v>
      </c>
      <c r="H179" s="16" t="s">
        <v>0</v>
      </c>
      <c r="I179" s="16" t="s">
        <v>273</v>
      </c>
      <c r="L179" s="16" t="s">
        <v>421</v>
      </c>
      <c r="M179" s="16">
        <v>1</v>
      </c>
      <c r="N179" s="16" t="s">
        <v>420</v>
      </c>
      <c r="O179" s="16" t="s">
        <v>419</v>
      </c>
      <c r="Q179" s="16" t="s">
        <v>53</v>
      </c>
      <c r="S179" s="16" t="s">
        <v>448</v>
      </c>
      <c r="U179" s="16" t="s">
        <v>394</v>
      </c>
      <c r="X179" s="16" t="s">
        <v>453</v>
      </c>
      <c r="AD179" s="16" t="s">
        <v>403</v>
      </c>
      <c r="AE179" s="16" t="str">
        <f t="shared" si="6"/>
        <v>OK</v>
      </c>
      <c r="AF179" s="16">
        <f t="shared" si="7"/>
        <v>0</v>
      </c>
      <c r="AG179" s="16">
        <f t="shared" si="8"/>
        <v>1</v>
      </c>
    </row>
    <row r="180" spans="1:33" x14ac:dyDescent="0.25">
      <c r="A180" s="16" t="s">
        <v>66</v>
      </c>
      <c r="B180" s="16" t="s">
        <v>366</v>
      </c>
      <c r="C180" s="16" t="s">
        <v>407</v>
      </c>
      <c r="D180" s="16" t="s">
        <v>261</v>
      </c>
      <c r="E180" s="16" t="s">
        <v>129</v>
      </c>
      <c r="H180" s="16" t="s">
        <v>0</v>
      </c>
      <c r="I180" s="16" t="s">
        <v>273</v>
      </c>
      <c r="L180" s="16" t="s">
        <v>421</v>
      </c>
      <c r="M180" s="16">
        <v>1</v>
      </c>
      <c r="N180" s="16" t="s">
        <v>420</v>
      </c>
      <c r="O180" s="16" t="s">
        <v>419</v>
      </c>
      <c r="Q180" s="16" t="s">
        <v>53</v>
      </c>
      <c r="S180" s="16" t="s">
        <v>448</v>
      </c>
      <c r="U180" s="16" t="s">
        <v>394</v>
      </c>
      <c r="X180" s="16" t="s">
        <v>453</v>
      </c>
      <c r="AD180" s="16" t="s">
        <v>403</v>
      </c>
      <c r="AE180" s="16" t="str">
        <f t="shared" si="6"/>
        <v>OK</v>
      </c>
      <c r="AF180" s="16">
        <f t="shared" si="7"/>
        <v>0</v>
      </c>
      <c r="AG180" s="16">
        <f t="shared" si="8"/>
        <v>1</v>
      </c>
    </row>
    <row r="181" spans="1:33" x14ac:dyDescent="0.25">
      <c r="A181" s="16" t="s">
        <v>66</v>
      </c>
      <c r="B181" s="16" t="s">
        <v>358</v>
      </c>
      <c r="C181" s="16" t="s">
        <v>407</v>
      </c>
      <c r="D181" s="16" t="s">
        <v>133</v>
      </c>
      <c r="E181" s="16" t="s">
        <v>129</v>
      </c>
      <c r="H181" s="16" t="s">
        <v>0</v>
      </c>
      <c r="I181" s="16" t="s">
        <v>273</v>
      </c>
      <c r="L181" s="16" t="s">
        <v>421</v>
      </c>
      <c r="M181" s="16">
        <v>1</v>
      </c>
      <c r="N181" s="16" t="s">
        <v>420</v>
      </c>
      <c r="O181" s="16" t="s">
        <v>419</v>
      </c>
      <c r="Q181" s="16" t="s">
        <v>53</v>
      </c>
      <c r="S181" s="16" t="s">
        <v>448</v>
      </c>
      <c r="U181" s="16" t="s">
        <v>394</v>
      </c>
      <c r="X181" s="16" t="s">
        <v>453</v>
      </c>
      <c r="AD181" s="16" t="s">
        <v>403</v>
      </c>
      <c r="AE181" s="16" t="str">
        <f t="shared" si="6"/>
        <v>OK</v>
      </c>
      <c r="AF181" s="16">
        <f t="shared" si="7"/>
        <v>0</v>
      </c>
      <c r="AG181" s="16">
        <f t="shared" si="8"/>
        <v>1</v>
      </c>
    </row>
    <row r="182" spans="1:33" x14ac:dyDescent="0.25">
      <c r="A182" s="16" t="s">
        <v>66</v>
      </c>
      <c r="B182" s="16" t="s">
        <v>355</v>
      </c>
      <c r="C182" s="16" t="s">
        <v>407</v>
      </c>
      <c r="D182" s="16" t="s">
        <v>133</v>
      </c>
      <c r="E182" s="16" t="s">
        <v>274</v>
      </c>
      <c r="H182" s="16" t="s">
        <v>0</v>
      </c>
      <c r="I182" s="16" t="s">
        <v>273</v>
      </c>
      <c r="L182" s="16" t="s">
        <v>421</v>
      </c>
      <c r="M182" s="16">
        <v>1</v>
      </c>
      <c r="N182" s="16" t="s">
        <v>420</v>
      </c>
      <c r="O182" s="16" t="s">
        <v>419</v>
      </c>
      <c r="Q182" s="16" t="s">
        <v>53</v>
      </c>
      <c r="S182" s="16" t="s">
        <v>448</v>
      </c>
      <c r="U182" s="16" t="s">
        <v>394</v>
      </c>
      <c r="X182" s="16" t="s">
        <v>453</v>
      </c>
      <c r="AD182" s="16" t="s">
        <v>403</v>
      </c>
      <c r="AE182" s="16" t="str">
        <f t="shared" si="6"/>
        <v>OK</v>
      </c>
      <c r="AF182" s="16">
        <f t="shared" si="7"/>
        <v>0</v>
      </c>
      <c r="AG182" s="16">
        <f t="shared" si="8"/>
        <v>1</v>
      </c>
    </row>
    <row r="183" spans="1:33" x14ac:dyDescent="0.25">
      <c r="A183" s="16" t="s">
        <v>17</v>
      </c>
      <c r="B183" s="16" t="s">
        <v>367</v>
      </c>
      <c r="C183" s="16" t="s">
        <v>407</v>
      </c>
      <c r="D183" s="16" t="s">
        <v>261</v>
      </c>
      <c r="E183" s="16" t="s">
        <v>275</v>
      </c>
      <c r="H183" s="16" t="s">
        <v>0</v>
      </c>
      <c r="I183" s="16" t="s">
        <v>276</v>
      </c>
      <c r="J183" s="16">
        <v>300015132</v>
      </c>
      <c r="Q183" s="16" t="s">
        <v>53</v>
      </c>
      <c r="S183" s="16" t="s">
        <v>448</v>
      </c>
      <c r="U183" s="16" t="s">
        <v>394</v>
      </c>
      <c r="X183" s="16" t="s">
        <v>453</v>
      </c>
      <c r="AD183" s="16" t="s">
        <v>403</v>
      </c>
      <c r="AE183" s="16" t="str">
        <f t="shared" si="6"/>
        <v>OK</v>
      </c>
      <c r="AF183" s="16">
        <f t="shared" si="7"/>
        <v>0</v>
      </c>
      <c r="AG183" s="16">
        <f t="shared" si="8"/>
        <v>1</v>
      </c>
    </row>
    <row r="184" spans="1:33" s="1" customFormat="1" x14ac:dyDescent="0.25">
      <c r="A184" s="1" t="s">
        <v>279</v>
      </c>
      <c r="B184" s="1" t="s">
        <v>368</v>
      </c>
      <c r="C184" s="1" t="s">
        <v>407</v>
      </c>
      <c r="D184" s="1" t="s">
        <v>133</v>
      </c>
      <c r="E184" s="1" t="s">
        <v>278</v>
      </c>
      <c r="H184" s="1" t="s">
        <v>277</v>
      </c>
      <c r="I184" s="1">
        <v>28861</v>
      </c>
      <c r="Q184" s="1" t="s">
        <v>53</v>
      </c>
      <c r="S184" s="1" t="s">
        <v>448</v>
      </c>
      <c r="U184" s="1" t="s">
        <v>393</v>
      </c>
      <c r="AD184" s="1" t="s">
        <v>403</v>
      </c>
      <c r="AE184" s="1" t="str">
        <f t="shared" si="6"/>
        <v>OK</v>
      </c>
      <c r="AF184" s="1">
        <f t="shared" si="7"/>
        <v>0</v>
      </c>
      <c r="AG184" s="1">
        <f t="shared" si="8"/>
        <v>0</v>
      </c>
    </row>
    <row r="185" spans="1:33" s="1" customFormat="1" x14ac:dyDescent="0.25">
      <c r="A185" s="1" t="s">
        <v>279</v>
      </c>
      <c r="B185" s="1" t="s">
        <v>369</v>
      </c>
      <c r="C185" s="1" t="s">
        <v>407</v>
      </c>
      <c r="D185" s="1" t="s">
        <v>133</v>
      </c>
      <c r="E185" s="1" t="s">
        <v>278</v>
      </c>
      <c r="H185" s="1" t="s">
        <v>277</v>
      </c>
      <c r="I185" s="1">
        <v>28861</v>
      </c>
      <c r="Q185" s="1" t="s">
        <v>53</v>
      </c>
      <c r="S185" s="1" t="s">
        <v>448</v>
      </c>
      <c r="U185" s="1" t="s">
        <v>393</v>
      </c>
      <c r="AD185" s="1" t="s">
        <v>403</v>
      </c>
      <c r="AE185" s="1" t="str">
        <f t="shared" si="6"/>
        <v>OK</v>
      </c>
      <c r="AF185" s="1">
        <f t="shared" si="7"/>
        <v>0</v>
      </c>
      <c r="AG185" s="1">
        <f t="shared" si="8"/>
        <v>0</v>
      </c>
    </row>
    <row r="186" spans="1:33" s="1" customFormat="1" x14ac:dyDescent="0.25">
      <c r="A186" s="1" t="s">
        <v>280</v>
      </c>
      <c r="B186" s="1" t="s">
        <v>370</v>
      </c>
      <c r="C186" s="1" t="s">
        <v>407</v>
      </c>
      <c r="D186" s="1" t="s">
        <v>261</v>
      </c>
      <c r="E186" s="1" t="s">
        <v>284</v>
      </c>
      <c r="H186" s="1" t="s">
        <v>282</v>
      </c>
      <c r="I186" s="1" t="s">
        <v>283</v>
      </c>
      <c r="Q186" s="1" t="s">
        <v>53</v>
      </c>
      <c r="S186" s="1" t="s">
        <v>448</v>
      </c>
      <c r="U186" s="1" t="s">
        <v>393</v>
      </c>
      <c r="AD186" s="1" t="s">
        <v>403</v>
      </c>
      <c r="AE186" s="1" t="str">
        <f t="shared" si="6"/>
        <v>OK</v>
      </c>
      <c r="AF186" s="1">
        <f t="shared" si="7"/>
        <v>0</v>
      </c>
      <c r="AG186" s="1">
        <f t="shared" si="8"/>
        <v>0</v>
      </c>
    </row>
    <row r="187" spans="1:33" x14ac:dyDescent="0.25">
      <c r="A187" s="16" t="s">
        <v>281</v>
      </c>
      <c r="B187" s="16" t="s">
        <v>371</v>
      </c>
      <c r="C187" s="16" t="s">
        <v>407</v>
      </c>
      <c r="D187" s="16" t="s">
        <v>133</v>
      </c>
      <c r="E187" s="16" t="s">
        <v>285</v>
      </c>
      <c r="H187" s="16" t="s">
        <v>0</v>
      </c>
      <c r="I187" s="16">
        <v>1681</v>
      </c>
      <c r="O187" s="16" t="s">
        <v>446</v>
      </c>
      <c r="Q187" s="16" t="s">
        <v>53</v>
      </c>
      <c r="S187" s="16" t="s">
        <v>448</v>
      </c>
      <c r="U187" s="16" t="s">
        <v>394</v>
      </c>
      <c r="X187" s="16" t="s">
        <v>455</v>
      </c>
      <c r="AD187" s="16" t="s">
        <v>403</v>
      </c>
      <c r="AE187" s="16" t="str">
        <f t="shared" si="6"/>
        <v>OK</v>
      </c>
      <c r="AF187" s="16">
        <f t="shared" si="7"/>
        <v>0</v>
      </c>
      <c r="AG187" s="16">
        <f t="shared" si="8"/>
        <v>1</v>
      </c>
    </row>
    <row r="188" spans="1:33" x14ac:dyDescent="0.25">
      <c r="A188" s="16" t="s">
        <v>281</v>
      </c>
      <c r="B188" s="16" t="s">
        <v>372</v>
      </c>
      <c r="C188" s="16" t="s">
        <v>407</v>
      </c>
      <c r="D188" s="16" t="s">
        <v>261</v>
      </c>
      <c r="E188" s="16" t="s">
        <v>285</v>
      </c>
      <c r="H188" s="16" t="s">
        <v>0</v>
      </c>
      <c r="I188" s="16">
        <v>1681</v>
      </c>
      <c r="O188" s="16" t="s">
        <v>446</v>
      </c>
      <c r="Q188" s="16" t="s">
        <v>53</v>
      </c>
      <c r="S188" s="16" t="s">
        <v>448</v>
      </c>
      <c r="U188" s="16" t="s">
        <v>394</v>
      </c>
      <c r="X188" s="16" t="s">
        <v>455</v>
      </c>
      <c r="AD188" s="16" t="s">
        <v>403</v>
      </c>
      <c r="AE188" s="16" t="str">
        <f t="shared" si="6"/>
        <v>OK</v>
      </c>
      <c r="AF188" s="16">
        <f t="shared" si="7"/>
        <v>0</v>
      </c>
      <c r="AG188" s="16">
        <f t="shared" si="8"/>
        <v>1</v>
      </c>
    </row>
    <row r="189" spans="1:33" x14ac:dyDescent="0.25">
      <c r="A189" s="16" t="s">
        <v>281</v>
      </c>
      <c r="B189" s="16" t="s">
        <v>373</v>
      </c>
      <c r="C189" s="16" t="s">
        <v>407</v>
      </c>
      <c r="D189" s="16" t="s">
        <v>261</v>
      </c>
      <c r="E189" s="16" t="s">
        <v>285</v>
      </c>
      <c r="H189" s="16" t="s">
        <v>0</v>
      </c>
      <c r="I189" s="16">
        <v>1681</v>
      </c>
      <c r="O189" s="16" t="s">
        <v>446</v>
      </c>
      <c r="Q189" s="16" t="s">
        <v>53</v>
      </c>
      <c r="S189" s="16" t="s">
        <v>448</v>
      </c>
      <c r="U189" s="16" t="s">
        <v>394</v>
      </c>
      <c r="X189" s="16" t="s">
        <v>455</v>
      </c>
      <c r="AD189" s="16" t="s">
        <v>403</v>
      </c>
      <c r="AE189" s="16" t="str">
        <f t="shared" si="6"/>
        <v>OK</v>
      </c>
      <c r="AF189" s="16">
        <f t="shared" si="7"/>
        <v>0</v>
      </c>
      <c r="AG189" s="16">
        <f t="shared" si="8"/>
        <v>1</v>
      </c>
    </row>
    <row r="190" spans="1:33" x14ac:dyDescent="0.25">
      <c r="A190" s="16" t="s">
        <v>281</v>
      </c>
      <c r="B190" s="16" t="s">
        <v>374</v>
      </c>
      <c r="C190" s="16" t="s">
        <v>407</v>
      </c>
      <c r="D190" s="16" t="s">
        <v>133</v>
      </c>
      <c r="E190" s="16" t="s">
        <v>285</v>
      </c>
      <c r="H190" s="16" t="s">
        <v>0</v>
      </c>
      <c r="I190" s="16">
        <v>1681</v>
      </c>
      <c r="O190" s="16" t="s">
        <v>446</v>
      </c>
      <c r="Q190" s="16" t="s">
        <v>53</v>
      </c>
      <c r="S190" s="16" t="s">
        <v>448</v>
      </c>
      <c r="U190" s="16" t="s">
        <v>394</v>
      </c>
      <c r="X190" s="16" t="s">
        <v>455</v>
      </c>
      <c r="AD190" s="16" t="s">
        <v>403</v>
      </c>
      <c r="AE190" s="16" t="str">
        <f t="shared" si="6"/>
        <v>OK</v>
      </c>
      <c r="AF190" s="16">
        <f t="shared" si="7"/>
        <v>0</v>
      </c>
      <c r="AG190" s="16">
        <f t="shared" si="8"/>
        <v>1</v>
      </c>
    </row>
    <row r="191" spans="1:33" x14ac:dyDescent="0.25">
      <c r="A191" s="16" t="s">
        <v>288</v>
      </c>
      <c r="B191" s="16" t="s">
        <v>375</v>
      </c>
      <c r="C191" s="16" t="s">
        <v>407</v>
      </c>
      <c r="D191" s="16" t="s">
        <v>133</v>
      </c>
      <c r="E191" s="16" t="s">
        <v>287</v>
      </c>
      <c r="H191" s="16" t="s">
        <v>57</v>
      </c>
      <c r="I191" s="16" t="s">
        <v>286</v>
      </c>
      <c r="J191" s="16" t="s">
        <v>289</v>
      </c>
      <c r="O191" s="16" t="s">
        <v>447</v>
      </c>
      <c r="Q191" s="16" t="s">
        <v>53</v>
      </c>
      <c r="S191" s="16" t="s">
        <v>448</v>
      </c>
      <c r="U191" s="16" t="s">
        <v>394</v>
      </c>
      <c r="X191" s="16" t="s">
        <v>456</v>
      </c>
      <c r="AD191" s="16" t="s">
        <v>403</v>
      </c>
      <c r="AE191" s="16" t="str">
        <f t="shared" si="6"/>
        <v>OK</v>
      </c>
      <c r="AF191" s="16">
        <f t="shared" si="7"/>
        <v>0</v>
      </c>
      <c r="AG191" s="16">
        <f t="shared" si="8"/>
        <v>1</v>
      </c>
    </row>
    <row r="192" spans="1:33" x14ac:dyDescent="0.25">
      <c r="A192" s="16" t="s">
        <v>288</v>
      </c>
      <c r="B192" s="16" t="s">
        <v>376</v>
      </c>
      <c r="C192" s="16" t="s">
        <v>407</v>
      </c>
      <c r="D192" s="16" t="s">
        <v>133</v>
      </c>
      <c r="E192" s="16" t="s">
        <v>287</v>
      </c>
      <c r="H192" s="16" t="s">
        <v>57</v>
      </c>
      <c r="I192" s="16" t="s">
        <v>286</v>
      </c>
      <c r="J192" s="16" t="s">
        <v>290</v>
      </c>
      <c r="O192" s="16" t="s">
        <v>447</v>
      </c>
      <c r="Q192" s="16" t="s">
        <v>53</v>
      </c>
      <c r="S192" s="16" t="s">
        <v>448</v>
      </c>
      <c r="U192" s="16" t="s">
        <v>394</v>
      </c>
      <c r="X192" s="16" t="s">
        <v>456</v>
      </c>
      <c r="AD192" s="16" t="s">
        <v>403</v>
      </c>
      <c r="AE192" s="16" t="str">
        <f t="shared" si="6"/>
        <v>OK</v>
      </c>
      <c r="AF192" s="16">
        <f t="shared" si="7"/>
        <v>0</v>
      </c>
      <c r="AG192" s="16">
        <f t="shared" si="8"/>
        <v>1</v>
      </c>
    </row>
    <row r="193" spans="1:33" x14ac:dyDescent="0.25">
      <c r="A193" s="16" t="s">
        <v>288</v>
      </c>
      <c r="B193" s="16" t="s">
        <v>377</v>
      </c>
      <c r="C193" s="16" t="s">
        <v>407</v>
      </c>
      <c r="D193" s="16" t="s">
        <v>133</v>
      </c>
      <c r="E193" s="16" t="s">
        <v>287</v>
      </c>
      <c r="H193" s="16" t="s">
        <v>57</v>
      </c>
      <c r="I193" s="16" t="s">
        <v>286</v>
      </c>
      <c r="J193" s="16" t="s">
        <v>289</v>
      </c>
      <c r="O193" s="16" t="s">
        <v>447</v>
      </c>
      <c r="Q193" s="16" t="s">
        <v>53</v>
      </c>
      <c r="S193" s="16" t="s">
        <v>448</v>
      </c>
      <c r="U193" s="16" t="s">
        <v>394</v>
      </c>
      <c r="X193" s="16" t="s">
        <v>456</v>
      </c>
      <c r="AD193" s="16" t="s">
        <v>403</v>
      </c>
      <c r="AE193" s="16" t="str">
        <f t="shared" si="6"/>
        <v>OK</v>
      </c>
      <c r="AF193" s="16">
        <f t="shared" si="7"/>
        <v>0</v>
      </c>
      <c r="AG193" s="16">
        <f t="shared" si="8"/>
        <v>1</v>
      </c>
    </row>
    <row r="194" spans="1:33" x14ac:dyDescent="0.25">
      <c r="A194" s="16" t="s">
        <v>72</v>
      </c>
      <c r="B194" s="16" t="s">
        <v>378</v>
      </c>
      <c r="C194" s="16" t="s">
        <v>407</v>
      </c>
      <c r="D194" s="16" t="s">
        <v>133</v>
      </c>
      <c r="E194" s="16" t="s">
        <v>287</v>
      </c>
      <c r="H194" s="16" t="s">
        <v>0</v>
      </c>
      <c r="I194" s="16" t="s">
        <v>291</v>
      </c>
      <c r="Q194" s="16" t="s">
        <v>53</v>
      </c>
      <c r="S194" s="16" t="s">
        <v>448</v>
      </c>
      <c r="U194" s="16" t="s">
        <v>394</v>
      </c>
      <c r="X194" s="16" t="s">
        <v>456</v>
      </c>
      <c r="AD194" s="16" t="s">
        <v>403</v>
      </c>
      <c r="AE194" s="16" t="str">
        <f t="shared" ref="AE194:AE209" si="9">IF(TRIM(B194)="","PENDENTE","OK")</f>
        <v>OK</v>
      </c>
      <c r="AF194" s="16">
        <f t="shared" ref="AF194:AF209" si="10">IF(AE194="PENDENTE",1,0)</f>
        <v>0</v>
      </c>
      <c r="AG194" s="16">
        <f t="shared" ref="AG194:AG209" si="11">IF(LEFT(UPPER(TRIM(U194)),3)="SIM",1,0)</f>
        <v>1</v>
      </c>
    </row>
    <row r="195" spans="1:33" s="1" customFormat="1" x14ac:dyDescent="0.25">
      <c r="A195" s="1" t="s">
        <v>72</v>
      </c>
      <c r="B195" s="1" t="s">
        <v>379</v>
      </c>
      <c r="C195" s="1" t="s">
        <v>407</v>
      </c>
      <c r="D195" s="1" t="s">
        <v>133</v>
      </c>
      <c r="E195" s="1" t="s">
        <v>292</v>
      </c>
      <c r="H195" s="1" t="s">
        <v>0</v>
      </c>
      <c r="I195" s="1" t="s">
        <v>295</v>
      </c>
      <c r="Q195" s="1" t="s">
        <v>53</v>
      </c>
      <c r="S195" s="1" t="s">
        <v>448</v>
      </c>
      <c r="U195" s="1" t="s">
        <v>393</v>
      </c>
      <c r="AD195" s="1" t="s">
        <v>403</v>
      </c>
      <c r="AE195" s="1" t="str">
        <f t="shared" si="9"/>
        <v>OK</v>
      </c>
      <c r="AF195" s="1">
        <f t="shared" si="10"/>
        <v>0</v>
      </c>
      <c r="AG195" s="1">
        <f t="shared" si="11"/>
        <v>0</v>
      </c>
    </row>
    <row r="196" spans="1:33" s="1" customFormat="1" x14ac:dyDescent="0.25">
      <c r="A196" s="1" t="s">
        <v>72</v>
      </c>
      <c r="B196" s="1" t="s">
        <v>380</v>
      </c>
      <c r="C196" s="1" t="s">
        <v>407</v>
      </c>
      <c r="D196" s="1" t="s">
        <v>133</v>
      </c>
      <c r="E196" s="1" t="s">
        <v>292</v>
      </c>
      <c r="H196" s="1" t="s">
        <v>0</v>
      </c>
      <c r="I196" s="1" t="s">
        <v>295</v>
      </c>
      <c r="Q196" s="1" t="s">
        <v>53</v>
      </c>
      <c r="S196" s="1" t="s">
        <v>448</v>
      </c>
      <c r="U196" s="1" t="s">
        <v>393</v>
      </c>
      <c r="AD196" s="1" t="s">
        <v>403</v>
      </c>
      <c r="AE196" s="1" t="str">
        <f t="shared" si="9"/>
        <v>OK</v>
      </c>
      <c r="AF196" s="1">
        <f t="shared" si="10"/>
        <v>0</v>
      </c>
      <c r="AG196" s="1">
        <f t="shared" si="11"/>
        <v>0</v>
      </c>
    </row>
    <row r="197" spans="1:33" s="1" customFormat="1" x14ac:dyDescent="0.25">
      <c r="A197" s="1" t="s">
        <v>72</v>
      </c>
      <c r="B197" s="1" t="s">
        <v>381</v>
      </c>
      <c r="C197" s="1" t="s">
        <v>407</v>
      </c>
      <c r="D197" s="1" t="s">
        <v>133</v>
      </c>
      <c r="E197" s="1" t="s">
        <v>292</v>
      </c>
      <c r="H197" s="1" t="s">
        <v>0</v>
      </c>
      <c r="I197" s="1" t="s">
        <v>295</v>
      </c>
      <c r="Q197" s="1" t="s">
        <v>53</v>
      </c>
      <c r="S197" s="1" t="s">
        <v>448</v>
      </c>
      <c r="U197" s="1" t="s">
        <v>393</v>
      </c>
      <c r="AD197" s="1" t="s">
        <v>403</v>
      </c>
      <c r="AE197" s="1" t="str">
        <f t="shared" si="9"/>
        <v>OK</v>
      </c>
      <c r="AF197" s="1">
        <f t="shared" si="10"/>
        <v>0</v>
      </c>
      <c r="AG197" s="1">
        <f t="shared" si="11"/>
        <v>0</v>
      </c>
    </row>
    <row r="198" spans="1:33" s="1" customFormat="1" x14ac:dyDescent="0.25">
      <c r="A198" s="1" t="s">
        <v>72</v>
      </c>
      <c r="B198" s="1" t="s">
        <v>382</v>
      </c>
      <c r="C198" s="1" t="s">
        <v>407</v>
      </c>
      <c r="D198" s="1" t="s">
        <v>133</v>
      </c>
      <c r="E198" s="1" t="s">
        <v>292</v>
      </c>
      <c r="H198" s="1" t="s">
        <v>0</v>
      </c>
      <c r="I198" s="1" t="s">
        <v>295</v>
      </c>
      <c r="Q198" s="1" t="s">
        <v>53</v>
      </c>
      <c r="S198" s="1" t="s">
        <v>448</v>
      </c>
      <c r="U198" s="1" t="s">
        <v>393</v>
      </c>
      <c r="AD198" s="1" t="s">
        <v>403</v>
      </c>
      <c r="AE198" s="1" t="str">
        <f t="shared" si="9"/>
        <v>OK</v>
      </c>
      <c r="AF198" s="1">
        <f t="shared" si="10"/>
        <v>0</v>
      </c>
      <c r="AG198" s="1">
        <f t="shared" si="11"/>
        <v>0</v>
      </c>
    </row>
    <row r="199" spans="1:33" s="1" customFormat="1" x14ac:dyDescent="0.25">
      <c r="A199" s="1" t="s">
        <v>72</v>
      </c>
      <c r="B199" s="1" t="s">
        <v>383</v>
      </c>
      <c r="C199" s="1" t="s">
        <v>407</v>
      </c>
      <c r="D199" s="1" t="s">
        <v>133</v>
      </c>
      <c r="E199" s="1" t="s">
        <v>292</v>
      </c>
      <c r="H199" s="1" t="s">
        <v>0</v>
      </c>
      <c r="I199" s="1" t="s">
        <v>295</v>
      </c>
      <c r="Q199" s="1" t="s">
        <v>53</v>
      </c>
      <c r="S199" s="1" t="s">
        <v>448</v>
      </c>
      <c r="U199" s="1" t="s">
        <v>393</v>
      </c>
      <c r="AD199" s="1" t="s">
        <v>403</v>
      </c>
      <c r="AE199" s="1" t="str">
        <f t="shared" si="9"/>
        <v>OK</v>
      </c>
      <c r="AF199" s="1">
        <f t="shared" si="10"/>
        <v>0</v>
      </c>
      <c r="AG199" s="1">
        <f t="shared" si="11"/>
        <v>0</v>
      </c>
    </row>
    <row r="200" spans="1:33" s="1" customFormat="1" x14ac:dyDescent="0.25">
      <c r="A200" s="1" t="s">
        <v>72</v>
      </c>
      <c r="B200" s="1" t="s">
        <v>384</v>
      </c>
      <c r="C200" s="1" t="s">
        <v>407</v>
      </c>
      <c r="D200" s="1" t="s">
        <v>133</v>
      </c>
      <c r="E200" s="1" t="s">
        <v>292</v>
      </c>
      <c r="H200" s="1" t="s">
        <v>0</v>
      </c>
      <c r="I200" s="1" t="s">
        <v>295</v>
      </c>
      <c r="Q200" s="1" t="s">
        <v>53</v>
      </c>
      <c r="S200" s="1" t="s">
        <v>448</v>
      </c>
      <c r="U200" s="1" t="s">
        <v>393</v>
      </c>
      <c r="AD200" s="1" t="s">
        <v>403</v>
      </c>
      <c r="AE200" s="1" t="str">
        <f t="shared" si="9"/>
        <v>OK</v>
      </c>
      <c r="AF200" s="1">
        <f t="shared" si="10"/>
        <v>0</v>
      </c>
      <c r="AG200" s="1">
        <f t="shared" si="11"/>
        <v>0</v>
      </c>
    </row>
    <row r="201" spans="1:33" s="1" customFormat="1" x14ac:dyDescent="0.25">
      <c r="A201" s="1" t="s">
        <v>72</v>
      </c>
      <c r="B201" s="1" t="s">
        <v>385</v>
      </c>
      <c r="C201" s="1" t="s">
        <v>407</v>
      </c>
      <c r="D201" s="1" t="s">
        <v>133</v>
      </c>
      <c r="E201" s="1" t="s">
        <v>292</v>
      </c>
      <c r="H201" s="1" t="s">
        <v>0</v>
      </c>
      <c r="I201" s="1" t="s">
        <v>295</v>
      </c>
      <c r="Q201" s="1" t="s">
        <v>53</v>
      </c>
      <c r="S201" s="1" t="s">
        <v>448</v>
      </c>
      <c r="U201" s="1" t="s">
        <v>393</v>
      </c>
      <c r="AD201" s="1" t="s">
        <v>403</v>
      </c>
      <c r="AE201" s="1" t="str">
        <f t="shared" si="9"/>
        <v>OK</v>
      </c>
      <c r="AF201" s="1">
        <f t="shared" si="10"/>
        <v>0</v>
      </c>
      <c r="AG201" s="1">
        <f t="shared" si="11"/>
        <v>0</v>
      </c>
    </row>
    <row r="202" spans="1:33" s="1" customFormat="1" x14ac:dyDescent="0.25">
      <c r="A202" s="1" t="s">
        <v>72</v>
      </c>
      <c r="B202" s="1" t="s">
        <v>387</v>
      </c>
      <c r="C202" s="1" t="s">
        <v>407</v>
      </c>
      <c r="D202" s="1" t="s">
        <v>261</v>
      </c>
      <c r="E202" s="1" t="s">
        <v>293</v>
      </c>
      <c r="H202" s="1" t="s">
        <v>0</v>
      </c>
      <c r="I202" s="1" t="s">
        <v>296</v>
      </c>
      <c r="Q202" s="1" t="s">
        <v>53</v>
      </c>
      <c r="S202" s="1" t="s">
        <v>448</v>
      </c>
      <c r="U202" s="1" t="s">
        <v>393</v>
      </c>
      <c r="AD202" s="1" t="s">
        <v>403</v>
      </c>
      <c r="AE202" s="1" t="str">
        <f t="shared" si="9"/>
        <v>OK</v>
      </c>
      <c r="AF202" s="1">
        <f t="shared" si="10"/>
        <v>0</v>
      </c>
      <c r="AG202" s="1">
        <f t="shared" si="11"/>
        <v>0</v>
      </c>
    </row>
    <row r="203" spans="1:33" s="1" customFormat="1" x14ac:dyDescent="0.25">
      <c r="A203" s="1" t="s">
        <v>72</v>
      </c>
      <c r="B203" s="1" t="s">
        <v>386</v>
      </c>
      <c r="C203" s="1" t="s">
        <v>407</v>
      </c>
      <c r="D203" s="1" t="s">
        <v>133</v>
      </c>
      <c r="E203" s="1" t="s">
        <v>292</v>
      </c>
      <c r="H203" s="1" t="s">
        <v>0</v>
      </c>
      <c r="I203" s="1" t="s">
        <v>295</v>
      </c>
      <c r="Q203" s="1" t="s">
        <v>53</v>
      </c>
      <c r="S203" s="1" t="s">
        <v>448</v>
      </c>
      <c r="U203" s="1" t="s">
        <v>393</v>
      </c>
      <c r="AD203" s="1" t="s">
        <v>403</v>
      </c>
      <c r="AE203" s="1" t="str">
        <f t="shared" si="9"/>
        <v>OK</v>
      </c>
      <c r="AF203" s="1">
        <f t="shared" si="10"/>
        <v>0</v>
      </c>
      <c r="AG203" s="1">
        <f t="shared" si="11"/>
        <v>0</v>
      </c>
    </row>
    <row r="204" spans="1:33" s="1" customFormat="1" x14ac:dyDescent="0.25">
      <c r="A204" s="1" t="s">
        <v>72</v>
      </c>
      <c r="B204" s="1" t="s">
        <v>388</v>
      </c>
      <c r="C204" s="1" t="s">
        <v>407</v>
      </c>
      <c r="D204" s="1" t="s">
        <v>133</v>
      </c>
      <c r="E204" s="1" t="s">
        <v>294</v>
      </c>
      <c r="H204" s="1" t="s">
        <v>0</v>
      </c>
      <c r="I204" s="1" t="s">
        <v>291</v>
      </c>
      <c r="Q204" s="1" t="s">
        <v>53</v>
      </c>
      <c r="S204" s="1" t="s">
        <v>448</v>
      </c>
      <c r="U204" s="1" t="s">
        <v>393</v>
      </c>
      <c r="AD204" s="1" t="s">
        <v>403</v>
      </c>
      <c r="AE204" s="1" t="str">
        <f t="shared" si="9"/>
        <v>OK</v>
      </c>
      <c r="AF204" s="1">
        <f t="shared" si="10"/>
        <v>0</v>
      </c>
      <c r="AG204" s="1">
        <f t="shared" si="11"/>
        <v>0</v>
      </c>
    </row>
    <row r="205" spans="1:33" s="1" customFormat="1" x14ac:dyDescent="0.25">
      <c r="A205" s="1" t="s">
        <v>72</v>
      </c>
      <c r="B205" s="1" t="s">
        <v>389</v>
      </c>
      <c r="C205" s="1" t="s">
        <v>407</v>
      </c>
      <c r="D205" s="1" t="s">
        <v>133</v>
      </c>
      <c r="E205" s="1" t="s">
        <v>292</v>
      </c>
      <c r="H205" s="1" t="s">
        <v>0</v>
      </c>
      <c r="I205" s="1" t="s">
        <v>297</v>
      </c>
      <c r="Q205" s="1" t="s">
        <v>53</v>
      </c>
      <c r="S205" s="1" t="s">
        <v>448</v>
      </c>
      <c r="U205" s="1" t="s">
        <v>393</v>
      </c>
      <c r="AD205" s="1" t="s">
        <v>403</v>
      </c>
      <c r="AE205" s="1" t="str">
        <f t="shared" si="9"/>
        <v>OK</v>
      </c>
      <c r="AF205" s="1">
        <f t="shared" si="10"/>
        <v>0</v>
      </c>
      <c r="AG205" s="1">
        <f t="shared" si="11"/>
        <v>0</v>
      </c>
    </row>
    <row r="206" spans="1:33" s="1" customFormat="1" x14ac:dyDescent="0.25">
      <c r="A206" s="1" t="s">
        <v>72</v>
      </c>
      <c r="B206" s="1" t="s">
        <v>390</v>
      </c>
      <c r="C206" s="1" t="s">
        <v>407</v>
      </c>
      <c r="D206" s="1" t="s">
        <v>133</v>
      </c>
      <c r="E206" s="1" t="s">
        <v>292</v>
      </c>
      <c r="H206" s="1" t="s">
        <v>0</v>
      </c>
      <c r="I206" s="1" t="s">
        <v>297</v>
      </c>
      <c r="Q206" s="1" t="s">
        <v>53</v>
      </c>
      <c r="S206" s="1" t="s">
        <v>448</v>
      </c>
      <c r="U206" s="1" t="s">
        <v>393</v>
      </c>
      <c r="AD206" s="1" t="s">
        <v>403</v>
      </c>
      <c r="AE206" s="1" t="str">
        <f t="shared" si="9"/>
        <v>OK</v>
      </c>
      <c r="AF206" s="1">
        <f t="shared" si="10"/>
        <v>0</v>
      </c>
      <c r="AG206" s="1">
        <f t="shared" si="11"/>
        <v>0</v>
      </c>
    </row>
    <row r="207" spans="1:33" s="1" customFormat="1" x14ac:dyDescent="0.25">
      <c r="A207" s="1" t="s">
        <v>72</v>
      </c>
      <c r="B207" s="1" t="s">
        <v>391</v>
      </c>
      <c r="C207" s="1" t="s">
        <v>407</v>
      </c>
      <c r="D207" s="1" t="s">
        <v>133</v>
      </c>
      <c r="E207" s="1" t="s">
        <v>292</v>
      </c>
      <c r="H207" s="1" t="s">
        <v>0</v>
      </c>
      <c r="I207" s="1" t="s">
        <v>297</v>
      </c>
      <c r="Q207" s="1" t="s">
        <v>53</v>
      </c>
      <c r="S207" s="1" t="s">
        <v>448</v>
      </c>
      <c r="U207" s="1" t="s">
        <v>393</v>
      </c>
      <c r="AD207" s="1" t="s">
        <v>403</v>
      </c>
      <c r="AE207" s="1" t="str">
        <f t="shared" si="9"/>
        <v>OK</v>
      </c>
      <c r="AF207" s="1">
        <f t="shared" si="10"/>
        <v>0</v>
      </c>
      <c r="AG207" s="1">
        <f t="shared" si="11"/>
        <v>0</v>
      </c>
    </row>
    <row r="208" spans="1:33" s="1" customFormat="1" x14ac:dyDescent="0.25">
      <c r="A208" s="1" t="s">
        <v>72</v>
      </c>
      <c r="B208" s="1" t="s">
        <v>392</v>
      </c>
      <c r="C208" s="1" t="s">
        <v>407</v>
      </c>
      <c r="D208" s="1" t="s">
        <v>133</v>
      </c>
      <c r="E208" s="1" t="s">
        <v>292</v>
      </c>
      <c r="H208" s="1" t="s">
        <v>0</v>
      </c>
      <c r="I208" s="1" t="s">
        <v>297</v>
      </c>
      <c r="Q208" s="1" t="s">
        <v>53</v>
      </c>
      <c r="S208" s="1" t="s">
        <v>448</v>
      </c>
      <c r="U208" s="1" t="s">
        <v>393</v>
      </c>
      <c r="AD208" s="1" t="s">
        <v>403</v>
      </c>
      <c r="AE208" s="1" t="str">
        <f t="shared" si="9"/>
        <v>OK</v>
      </c>
      <c r="AF208" s="1">
        <f t="shared" si="10"/>
        <v>0</v>
      </c>
      <c r="AG208" s="1">
        <f t="shared" si="11"/>
        <v>0</v>
      </c>
    </row>
    <row r="209" spans="1:33" s="1" customFormat="1" x14ac:dyDescent="0.25">
      <c r="A209" s="1" t="s">
        <v>427</v>
      </c>
      <c r="B209" s="1" t="s">
        <v>434</v>
      </c>
      <c r="C209" s="1" t="s">
        <v>407</v>
      </c>
      <c r="D209" s="1" t="s">
        <v>133</v>
      </c>
      <c r="E209" s="1" t="s">
        <v>433</v>
      </c>
      <c r="H209" s="1" t="s">
        <v>428</v>
      </c>
      <c r="I209" s="1" t="s">
        <v>435</v>
      </c>
      <c r="K209" s="1" t="s">
        <v>436</v>
      </c>
      <c r="Q209" s="1" t="s">
        <v>53</v>
      </c>
      <c r="S209" s="1" t="s">
        <v>448</v>
      </c>
      <c r="U209" s="1" t="s">
        <v>393</v>
      </c>
      <c r="AD209" s="1" t="s">
        <v>403</v>
      </c>
      <c r="AE209" s="1" t="str">
        <f t="shared" si="9"/>
        <v>OK</v>
      </c>
      <c r="AF209" s="1">
        <f t="shared" si="10"/>
        <v>0</v>
      </c>
      <c r="AG209" s="1">
        <f t="shared" si="11"/>
        <v>0</v>
      </c>
    </row>
  </sheetData>
  <sheetProtection algorithmName="SHA-512" hashValue="5seSJaEl5J0z5K/PmuAoyieIsX6xioDMhfxAL8axYavuKgi6PpIeuhM3gIB4wUxf3ryx+6CwHjK4AtVV69WzDg==" saltValue="Q6NDiG6KxiTHTyjsd9s5Ig==" spinCount="100000" sheet="1" objects="1" scenarios="1" sort="0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3BA52-9D11-4203-999D-8BAF6607CB6D}">
  <sheetPr codeName="Planilha1">
    <tabColor theme="5" tint="0.39997558519241921"/>
  </sheetPr>
  <dimension ref="A1:AC61"/>
  <sheetViews>
    <sheetView tabSelected="1" workbookViewId="0">
      <selection activeCell="D2" sqref="D2:D18"/>
    </sheetView>
  </sheetViews>
  <sheetFormatPr defaultRowHeight="15" x14ac:dyDescent="0.25"/>
  <cols>
    <col min="1" max="1" width="13.5703125" style="1" customWidth="1"/>
    <col min="2" max="2" width="16.85546875" style="1" customWidth="1"/>
    <col min="3" max="3" width="14" style="1" bestFit="1" customWidth="1"/>
    <col min="4" max="4" width="14.28515625" style="1" customWidth="1"/>
    <col min="5" max="5" width="45.85546875" style="1" customWidth="1"/>
    <col min="6" max="6" width="13.28515625" style="1" customWidth="1"/>
    <col min="7" max="7" width="12.7109375" style="1" customWidth="1"/>
    <col min="8" max="8" width="19" style="1" bestFit="1" customWidth="1"/>
    <col min="9" max="9" width="39.140625" style="1" customWidth="1"/>
    <col min="10" max="10" width="14.85546875" style="1" customWidth="1"/>
    <col min="11" max="11" width="15.42578125" style="1" customWidth="1"/>
    <col min="12" max="12" width="12.85546875" style="1" customWidth="1"/>
    <col min="13" max="13" width="12.5703125" style="1" customWidth="1"/>
    <col min="14" max="14" width="15.42578125" style="1" customWidth="1"/>
    <col min="15" max="15" width="23.85546875" style="1" bestFit="1" customWidth="1"/>
    <col min="16" max="16" width="20.85546875" style="1" customWidth="1"/>
    <col min="17" max="17" width="17" style="1" customWidth="1"/>
    <col min="18" max="18" width="19.85546875" style="1" customWidth="1"/>
    <col min="19" max="19" width="19.7109375" style="1" customWidth="1"/>
    <col min="20" max="20" width="20.42578125" style="1" customWidth="1"/>
    <col min="21" max="21" width="21.7109375" style="1" customWidth="1"/>
    <col min="22" max="22" width="13" style="1" customWidth="1"/>
    <col min="23" max="23" width="15.140625" style="1" customWidth="1"/>
    <col min="24" max="24" width="35.28515625" style="1" bestFit="1" customWidth="1"/>
    <col min="25" max="25" width="17.28515625" style="1" customWidth="1"/>
    <col min="26" max="16384" width="9.140625" style="1"/>
  </cols>
  <sheetData>
    <row r="1" spans="1:29" ht="63.75" x14ac:dyDescent="0.25">
      <c r="A1" s="2" t="s">
        <v>23</v>
      </c>
      <c r="B1" s="3" t="s">
        <v>24</v>
      </c>
      <c r="C1" s="3" t="s">
        <v>25</v>
      </c>
      <c r="D1" s="3" t="s">
        <v>26</v>
      </c>
      <c r="E1" s="4" t="s">
        <v>27</v>
      </c>
      <c r="F1" s="3" t="s">
        <v>28</v>
      </c>
      <c r="G1" s="3" t="s">
        <v>29</v>
      </c>
      <c r="H1" s="3" t="s">
        <v>30</v>
      </c>
      <c r="I1" s="5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3" t="s">
        <v>36</v>
      </c>
      <c r="O1" s="3" t="s">
        <v>37</v>
      </c>
      <c r="P1" s="3" t="s">
        <v>38</v>
      </c>
      <c r="Q1" s="3" t="s">
        <v>39</v>
      </c>
      <c r="R1" s="3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6" t="s">
        <v>48</v>
      </c>
      <c r="AA1" s="6" t="s">
        <v>49</v>
      </c>
      <c r="AB1" s="6" t="s">
        <v>50</v>
      </c>
      <c r="AC1" s="6" t="s">
        <v>51</v>
      </c>
    </row>
    <row r="2" spans="1:29" s="7" customFormat="1" x14ac:dyDescent="0.25">
      <c r="A2" s="7" t="s">
        <v>1</v>
      </c>
      <c r="B2" s="8" t="s">
        <v>199</v>
      </c>
      <c r="C2" s="7" t="s">
        <v>458</v>
      </c>
      <c r="D2" s="7" t="s">
        <v>460</v>
      </c>
      <c r="E2" s="9" t="s">
        <v>2</v>
      </c>
      <c r="H2" s="7" t="s">
        <v>0</v>
      </c>
      <c r="I2" s="10" t="s">
        <v>184</v>
      </c>
      <c r="J2" s="8"/>
      <c r="P2" s="7" t="s">
        <v>457</v>
      </c>
      <c r="Q2" s="7" t="s">
        <v>53</v>
      </c>
      <c r="R2" s="7" t="s">
        <v>10</v>
      </c>
      <c r="S2" s="7" t="s">
        <v>448</v>
      </c>
      <c r="U2" s="9" t="s">
        <v>393</v>
      </c>
    </row>
    <row r="3" spans="1:29" s="7" customFormat="1" x14ac:dyDescent="0.25">
      <c r="A3" s="7" t="s">
        <v>1</v>
      </c>
      <c r="B3" s="8" t="s">
        <v>201</v>
      </c>
      <c r="C3" s="7" t="s">
        <v>458</v>
      </c>
      <c r="D3" s="7" t="s">
        <v>460</v>
      </c>
      <c r="E3" s="11" t="s">
        <v>3</v>
      </c>
      <c r="H3" s="7" t="s">
        <v>0</v>
      </c>
      <c r="I3" s="10" t="s">
        <v>185</v>
      </c>
      <c r="J3" s="8"/>
      <c r="P3" s="7" t="s">
        <v>457</v>
      </c>
      <c r="Q3" s="7" t="s">
        <v>53</v>
      </c>
      <c r="R3" s="7" t="s">
        <v>10</v>
      </c>
      <c r="S3" s="7" t="s">
        <v>448</v>
      </c>
      <c r="U3" s="9" t="s">
        <v>393</v>
      </c>
    </row>
    <row r="4" spans="1:29" s="7" customFormat="1" x14ac:dyDescent="0.25">
      <c r="A4" s="7" t="s">
        <v>1</v>
      </c>
      <c r="B4" s="8" t="s">
        <v>202</v>
      </c>
      <c r="C4" s="7" t="s">
        <v>458</v>
      </c>
      <c r="D4" s="7" t="s">
        <v>460</v>
      </c>
      <c r="E4" s="11" t="s">
        <v>4</v>
      </c>
      <c r="H4" s="7" t="s">
        <v>0</v>
      </c>
      <c r="I4" s="11" t="s">
        <v>186</v>
      </c>
      <c r="J4" s="8"/>
      <c r="P4" s="7" t="s">
        <v>457</v>
      </c>
      <c r="Q4" s="7" t="s">
        <v>53</v>
      </c>
      <c r="R4" s="7" t="s">
        <v>10</v>
      </c>
      <c r="S4" s="7" t="s">
        <v>448</v>
      </c>
      <c r="U4" s="9" t="s">
        <v>393</v>
      </c>
    </row>
    <row r="5" spans="1:29" s="7" customFormat="1" x14ac:dyDescent="0.25">
      <c r="A5" s="7" t="s">
        <v>1</v>
      </c>
      <c r="B5" s="8" t="s">
        <v>200</v>
      </c>
      <c r="C5" s="7" t="s">
        <v>458</v>
      </c>
      <c r="D5" s="7" t="s">
        <v>460</v>
      </c>
      <c r="E5" s="11" t="s">
        <v>2</v>
      </c>
      <c r="H5" s="7" t="s">
        <v>0</v>
      </c>
      <c r="I5" s="11" t="s">
        <v>184</v>
      </c>
      <c r="J5" s="8"/>
      <c r="P5" s="7" t="s">
        <v>457</v>
      </c>
      <c r="Q5" s="7" t="s">
        <v>53</v>
      </c>
      <c r="R5" s="7" t="s">
        <v>10</v>
      </c>
      <c r="S5" s="7" t="s">
        <v>448</v>
      </c>
      <c r="U5" s="9" t="s">
        <v>393</v>
      </c>
    </row>
    <row r="6" spans="1:29" s="7" customFormat="1" x14ac:dyDescent="0.25">
      <c r="A6" s="7" t="s">
        <v>73</v>
      </c>
      <c r="B6" s="8" t="s">
        <v>187</v>
      </c>
      <c r="C6" s="7" t="s">
        <v>458</v>
      </c>
      <c r="D6" s="7" t="s">
        <v>460</v>
      </c>
      <c r="E6" s="8" t="s">
        <v>7</v>
      </c>
      <c r="H6" s="7" t="s">
        <v>5</v>
      </c>
      <c r="I6" s="12" t="s">
        <v>444</v>
      </c>
      <c r="J6" s="8" t="s">
        <v>6</v>
      </c>
      <c r="O6" s="1" t="s">
        <v>445</v>
      </c>
      <c r="P6" s="7" t="s">
        <v>457</v>
      </c>
      <c r="Q6" s="7" t="s">
        <v>53</v>
      </c>
      <c r="R6" s="7" t="s">
        <v>10</v>
      </c>
      <c r="S6" s="7" t="s">
        <v>448</v>
      </c>
      <c r="U6" s="8" t="s">
        <v>393</v>
      </c>
    </row>
    <row r="7" spans="1:29" s="7" customFormat="1" x14ac:dyDescent="0.25">
      <c r="A7" s="7" t="s">
        <v>9</v>
      </c>
      <c r="B7" s="8" t="s">
        <v>188</v>
      </c>
      <c r="C7" s="7" t="s">
        <v>458</v>
      </c>
      <c r="D7" s="7" t="s">
        <v>460</v>
      </c>
      <c r="E7" s="8" t="s">
        <v>55</v>
      </c>
      <c r="H7" s="7" t="s">
        <v>8</v>
      </c>
      <c r="I7" s="12" t="s">
        <v>54</v>
      </c>
      <c r="J7" s="8"/>
      <c r="M7" s="7" t="s">
        <v>440</v>
      </c>
      <c r="N7" s="7" t="s">
        <v>441</v>
      </c>
      <c r="P7" s="7" t="s">
        <v>457</v>
      </c>
      <c r="Q7" s="7" t="s">
        <v>53</v>
      </c>
      <c r="R7" s="7" t="s">
        <v>10</v>
      </c>
      <c r="S7" s="7" t="s">
        <v>448</v>
      </c>
      <c r="U7" s="8" t="s">
        <v>393</v>
      </c>
    </row>
    <row r="8" spans="1:29" s="7" customFormat="1" x14ac:dyDescent="0.25">
      <c r="A8" s="7" t="s">
        <v>11</v>
      </c>
      <c r="B8" s="8" t="s">
        <v>189</v>
      </c>
      <c r="C8" s="7" t="s">
        <v>458</v>
      </c>
      <c r="D8" s="7" t="s">
        <v>460</v>
      </c>
      <c r="E8" s="8" t="s">
        <v>55</v>
      </c>
      <c r="H8" s="7" t="s">
        <v>8</v>
      </c>
      <c r="I8" s="12" t="s">
        <v>54</v>
      </c>
      <c r="J8" s="8"/>
      <c r="M8" s="7" t="s">
        <v>440</v>
      </c>
      <c r="N8" s="7" t="s">
        <v>441</v>
      </c>
      <c r="P8" s="7" t="s">
        <v>457</v>
      </c>
      <c r="Q8" s="7" t="s">
        <v>53</v>
      </c>
      <c r="R8" s="7" t="s">
        <v>10</v>
      </c>
      <c r="S8" s="7" t="s">
        <v>448</v>
      </c>
      <c r="U8" s="8" t="s">
        <v>393</v>
      </c>
    </row>
    <row r="9" spans="1:29" s="7" customFormat="1" x14ac:dyDescent="0.25">
      <c r="A9" s="7" t="s">
        <v>60</v>
      </c>
      <c r="B9" s="8" t="s">
        <v>190</v>
      </c>
      <c r="C9" s="7" t="s">
        <v>458</v>
      </c>
      <c r="D9" s="7" t="s">
        <v>460</v>
      </c>
      <c r="E9" s="8" t="s">
        <v>59</v>
      </c>
      <c r="H9" s="7" t="s">
        <v>57</v>
      </c>
      <c r="I9" s="12" t="s">
        <v>56</v>
      </c>
      <c r="J9" s="8" t="s">
        <v>58</v>
      </c>
      <c r="L9" s="7" t="s">
        <v>443</v>
      </c>
      <c r="N9" s="7" t="s">
        <v>442</v>
      </c>
      <c r="P9" s="7" t="s">
        <v>457</v>
      </c>
      <c r="Q9" s="7" t="s">
        <v>53</v>
      </c>
      <c r="R9" s="7" t="s">
        <v>10</v>
      </c>
      <c r="S9" s="7" t="s">
        <v>448</v>
      </c>
      <c r="U9" s="8" t="s">
        <v>394</v>
      </c>
      <c r="X9" s="27" t="s">
        <v>449</v>
      </c>
      <c r="Y9" s="7" t="s">
        <v>53</v>
      </c>
    </row>
    <row r="10" spans="1:29" s="7" customFormat="1" x14ac:dyDescent="0.25">
      <c r="A10" s="7" t="s">
        <v>13</v>
      </c>
      <c r="B10" s="8" t="s">
        <v>191</v>
      </c>
      <c r="C10" s="7" t="s">
        <v>458</v>
      </c>
      <c r="D10" s="7" t="s">
        <v>460</v>
      </c>
      <c r="E10" s="8" t="s">
        <v>14</v>
      </c>
      <c r="H10" s="7" t="s">
        <v>12</v>
      </c>
      <c r="I10" s="12" t="s">
        <v>61</v>
      </c>
      <c r="J10" s="8" t="s">
        <v>62</v>
      </c>
      <c r="P10" s="7" t="s">
        <v>457</v>
      </c>
      <c r="Q10" s="7" t="s">
        <v>53</v>
      </c>
      <c r="R10" s="7" t="s">
        <v>10</v>
      </c>
      <c r="S10" s="7" t="s">
        <v>448</v>
      </c>
      <c r="U10" s="8" t="s">
        <v>393</v>
      </c>
      <c r="X10" s="29"/>
    </row>
    <row r="11" spans="1:29" s="7" customFormat="1" x14ac:dyDescent="0.25">
      <c r="A11" s="7" t="s">
        <v>13</v>
      </c>
      <c r="B11" s="8" t="s">
        <v>191</v>
      </c>
      <c r="C11" s="7" t="s">
        <v>458</v>
      </c>
      <c r="D11" s="7" t="s">
        <v>460</v>
      </c>
      <c r="E11" s="8" t="s">
        <v>14</v>
      </c>
      <c r="H11" s="7" t="s">
        <v>12</v>
      </c>
      <c r="I11" s="12" t="s">
        <v>61</v>
      </c>
      <c r="J11" s="8" t="s">
        <v>62</v>
      </c>
      <c r="P11" s="7" t="s">
        <v>457</v>
      </c>
      <c r="Q11" s="7" t="s">
        <v>53</v>
      </c>
      <c r="R11" s="7" t="s">
        <v>10</v>
      </c>
      <c r="S11" s="7" t="s">
        <v>448</v>
      </c>
      <c r="U11" s="8" t="s">
        <v>393</v>
      </c>
      <c r="X11" s="29"/>
    </row>
    <row r="12" spans="1:29" s="7" customFormat="1" x14ac:dyDescent="0.25">
      <c r="A12" s="7" t="s">
        <v>15</v>
      </c>
      <c r="B12" s="8" t="s">
        <v>192</v>
      </c>
      <c r="C12" s="7" t="s">
        <v>458</v>
      </c>
      <c r="D12" s="7" t="s">
        <v>460</v>
      </c>
      <c r="E12" s="8" t="s">
        <v>16</v>
      </c>
      <c r="H12" s="7" t="s">
        <v>12</v>
      </c>
      <c r="I12" s="12" t="s">
        <v>63</v>
      </c>
      <c r="J12" s="8">
        <v>12111092</v>
      </c>
      <c r="P12" s="7" t="s">
        <v>457</v>
      </c>
      <c r="Q12" s="7" t="s">
        <v>53</v>
      </c>
      <c r="R12" s="7" t="s">
        <v>10</v>
      </c>
      <c r="S12" s="7" t="s">
        <v>448</v>
      </c>
      <c r="U12" s="8" t="s">
        <v>393</v>
      </c>
      <c r="X12" s="29"/>
    </row>
    <row r="13" spans="1:29" s="7" customFormat="1" x14ac:dyDescent="0.25">
      <c r="A13" s="7" t="s">
        <v>66</v>
      </c>
      <c r="B13" s="8" t="s">
        <v>193</v>
      </c>
      <c r="C13" s="7" t="s">
        <v>458</v>
      </c>
      <c r="D13" s="7" t="s">
        <v>460</v>
      </c>
      <c r="E13" s="8" t="s">
        <v>18</v>
      </c>
      <c r="H13" s="1" t="s">
        <v>0</v>
      </c>
      <c r="I13" s="12" t="s">
        <v>64</v>
      </c>
      <c r="J13" s="8" t="s">
        <v>65</v>
      </c>
      <c r="P13" s="7" t="s">
        <v>457</v>
      </c>
      <c r="Q13" s="7" t="s">
        <v>53</v>
      </c>
      <c r="R13" s="7" t="s">
        <v>10</v>
      </c>
      <c r="S13" s="7" t="s">
        <v>448</v>
      </c>
      <c r="U13" s="8" t="s">
        <v>394</v>
      </c>
      <c r="X13" s="27" t="s">
        <v>450</v>
      </c>
      <c r="Y13" s="7" t="s">
        <v>53</v>
      </c>
    </row>
    <row r="14" spans="1:29" s="7" customFormat="1" x14ac:dyDescent="0.25">
      <c r="A14" s="7" t="s">
        <v>17</v>
      </c>
      <c r="B14" s="8" t="s">
        <v>194</v>
      </c>
      <c r="C14" s="7" t="s">
        <v>458</v>
      </c>
      <c r="D14" s="7" t="s">
        <v>460</v>
      </c>
      <c r="E14" s="8" t="s">
        <v>19</v>
      </c>
      <c r="H14" s="1" t="s">
        <v>0</v>
      </c>
      <c r="I14" s="12" t="s">
        <v>67</v>
      </c>
      <c r="J14" s="8">
        <v>13300329993</v>
      </c>
      <c r="P14" s="7" t="s">
        <v>457</v>
      </c>
      <c r="Q14" s="7" t="s">
        <v>53</v>
      </c>
      <c r="R14" s="7" t="s">
        <v>10</v>
      </c>
      <c r="S14" s="7" t="s">
        <v>448</v>
      </c>
      <c r="U14" s="8" t="s">
        <v>394</v>
      </c>
      <c r="X14" s="27" t="s">
        <v>451</v>
      </c>
      <c r="Y14" s="7" t="s">
        <v>53</v>
      </c>
    </row>
    <row r="15" spans="1:29" s="7" customFormat="1" x14ac:dyDescent="0.25">
      <c r="A15" s="7" t="s">
        <v>69</v>
      </c>
      <c r="B15" s="8" t="s">
        <v>195</v>
      </c>
      <c r="C15" s="7" t="s">
        <v>458</v>
      </c>
      <c r="D15" s="7" t="s">
        <v>460</v>
      </c>
      <c r="E15" s="8" t="s">
        <v>20</v>
      </c>
      <c r="H15" s="7" t="s">
        <v>68</v>
      </c>
      <c r="I15" s="8">
        <v>4220</v>
      </c>
      <c r="J15" s="8"/>
      <c r="P15" s="7" t="s">
        <v>457</v>
      </c>
      <c r="Q15" s="7" t="s">
        <v>53</v>
      </c>
      <c r="R15" s="7" t="s">
        <v>74</v>
      </c>
      <c r="S15" s="7" t="s">
        <v>448</v>
      </c>
      <c r="U15" s="8" t="s">
        <v>393</v>
      </c>
    </row>
    <row r="16" spans="1:29" s="7" customFormat="1" x14ac:dyDescent="0.25">
      <c r="A16" s="7" t="s">
        <v>72</v>
      </c>
      <c r="B16" s="8" t="s">
        <v>196</v>
      </c>
      <c r="C16" s="7" t="s">
        <v>458</v>
      </c>
      <c r="D16" s="7" t="s">
        <v>460</v>
      </c>
      <c r="E16" s="11" t="s">
        <v>21</v>
      </c>
      <c r="H16" s="1" t="s">
        <v>0</v>
      </c>
      <c r="I16" s="1" t="s">
        <v>70</v>
      </c>
      <c r="J16" s="8"/>
      <c r="P16" s="7" t="s">
        <v>457</v>
      </c>
      <c r="Q16" s="7" t="s">
        <v>53</v>
      </c>
      <c r="R16" s="7" t="s">
        <v>10</v>
      </c>
      <c r="S16" s="7" t="s">
        <v>448</v>
      </c>
      <c r="U16" s="8" t="s">
        <v>393</v>
      </c>
    </row>
    <row r="17" spans="1:21" s="7" customFormat="1" x14ac:dyDescent="0.25">
      <c r="A17" s="7" t="s">
        <v>72</v>
      </c>
      <c r="B17" s="8" t="s">
        <v>197</v>
      </c>
      <c r="C17" s="7" t="s">
        <v>458</v>
      </c>
      <c r="D17" s="7" t="s">
        <v>460</v>
      </c>
      <c r="E17" s="11" t="s">
        <v>22</v>
      </c>
      <c r="H17" s="1" t="s">
        <v>0</v>
      </c>
      <c r="I17" s="11" t="s">
        <v>71</v>
      </c>
      <c r="J17" s="8"/>
      <c r="P17" s="7" t="s">
        <v>457</v>
      </c>
      <c r="Q17" s="7" t="s">
        <v>53</v>
      </c>
      <c r="R17" s="7" t="s">
        <v>10</v>
      </c>
      <c r="S17" s="7" t="s">
        <v>448</v>
      </c>
      <c r="U17" s="11" t="s">
        <v>393</v>
      </c>
    </row>
    <row r="18" spans="1:21" s="7" customFormat="1" x14ac:dyDescent="0.25">
      <c r="A18" s="7" t="s">
        <v>72</v>
      </c>
      <c r="B18" s="8" t="s">
        <v>198</v>
      </c>
      <c r="C18" s="7" t="s">
        <v>458</v>
      </c>
      <c r="D18" s="7" t="s">
        <v>460</v>
      </c>
      <c r="E18" s="11" t="s">
        <v>22</v>
      </c>
      <c r="H18" s="1" t="s">
        <v>0</v>
      </c>
      <c r="I18" s="11" t="s">
        <v>71</v>
      </c>
      <c r="J18" s="8"/>
      <c r="P18" s="7" t="s">
        <v>457</v>
      </c>
      <c r="Q18" s="7" t="s">
        <v>53</v>
      </c>
      <c r="R18" s="7" t="s">
        <v>10</v>
      </c>
      <c r="S18" s="7" t="s">
        <v>448</v>
      </c>
      <c r="U18" s="11" t="s">
        <v>393</v>
      </c>
    </row>
    <row r="19" spans="1:21" s="7" customFormat="1" x14ac:dyDescent="0.25"/>
    <row r="20" spans="1:21" s="7" customFormat="1" x14ac:dyDescent="0.25"/>
    <row r="21" spans="1:21" s="7" customFormat="1" x14ac:dyDescent="0.25"/>
    <row r="22" spans="1:21" s="7" customFormat="1" x14ac:dyDescent="0.25"/>
    <row r="23" spans="1:21" s="7" customFormat="1" x14ac:dyDescent="0.25"/>
    <row r="24" spans="1:21" s="7" customFormat="1" x14ac:dyDescent="0.25"/>
    <row r="25" spans="1:21" s="7" customFormat="1" x14ac:dyDescent="0.25"/>
    <row r="26" spans="1:21" s="7" customFormat="1" x14ac:dyDescent="0.25"/>
    <row r="27" spans="1:21" s="7" customFormat="1" x14ac:dyDescent="0.25"/>
    <row r="28" spans="1:21" s="7" customFormat="1" x14ac:dyDescent="0.25"/>
    <row r="29" spans="1:21" s="7" customFormat="1" x14ac:dyDescent="0.25"/>
    <row r="30" spans="1:21" s="7" customFormat="1" x14ac:dyDescent="0.25"/>
    <row r="31" spans="1:21" s="7" customFormat="1" x14ac:dyDescent="0.25"/>
    <row r="32" spans="1:21" s="7" customFormat="1" x14ac:dyDescent="0.25"/>
    <row r="33" s="7" customFormat="1" x14ac:dyDescent="0.25"/>
    <row r="34" s="7" customFormat="1" x14ac:dyDescent="0.25"/>
    <row r="35" s="7" customFormat="1" x14ac:dyDescent="0.25"/>
    <row r="36" s="7" customFormat="1" x14ac:dyDescent="0.25"/>
    <row r="37" s="7" customFormat="1" x14ac:dyDescent="0.25"/>
    <row r="38" s="7" customFormat="1" x14ac:dyDescent="0.25"/>
    <row r="39" s="7" customFormat="1" x14ac:dyDescent="0.25"/>
    <row r="40" s="7" customFormat="1" x14ac:dyDescent="0.25"/>
    <row r="41" s="7" customFormat="1" x14ac:dyDescent="0.25"/>
    <row r="42" s="7" customFormat="1" x14ac:dyDescent="0.25"/>
    <row r="43" s="7" customFormat="1" x14ac:dyDescent="0.25"/>
    <row r="44" s="7" customFormat="1" x14ac:dyDescent="0.25"/>
    <row r="45" s="7" customFormat="1" x14ac:dyDescent="0.25"/>
    <row r="46" s="7" customFormat="1" x14ac:dyDescent="0.25"/>
    <row r="47" s="7" customFormat="1" x14ac:dyDescent="0.25"/>
    <row r="48" s="7" customFormat="1" x14ac:dyDescent="0.25"/>
    <row r="49" s="7" customFormat="1" x14ac:dyDescent="0.25"/>
    <row r="50" s="7" customFormat="1" x14ac:dyDescent="0.25"/>
    <row r="51" s="7" customFormat="1" x14ac:dyDescent="0.25"/>
    <row r="52" s="7" customFormat="1" x14ac:dyDescent="0.25"/>
    <row r="53" s="7" customFormat="1" x14ac:dyDescent="0.25"/>
    <row r="54" s="7" customFormat="1" x14ac:dyDescent="0.25"/>
    <row r="55" s="7" customFormat="1" x14ac:dyDescent="0.25"/>
    <row r="56" s="7" customFormat="1" x14ac:dyDescent="0.25"/>
    <row r="57" s="7" customFormat="1" x14ac:dyDescent="0.25"/>
    <row r="58" s="7" customFormat="1" x14ac:dyDescent="0.25"/>
    <row r="59" s="7" customFormat="1" x14ac:dyDescent="0.25"/>
    <row r="60" s="7" customFormat="1" x14ac:dyDescent="0.25"/>
    <row r="61" s="7" customFormat="1" x14ac:dyDescent="0.25"/>
  </sheetData>
  <pageMargins left="0.511811024" right="0.511811024" top="0.78740157499999996" bottom="0.78740157499999996" header="0.31496062000000002" footer="0.31496062000000002"/>
  <pageSetup paperSize="9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64A0B-F978-404C-A886-29D6D8F93C13}">
  <sheetPr codeName="Planilha2">
    <tabColor theme="4" tint="0.59999389629810485"/>
  </sheetPr>
  <dimension ref="A1:AC29"/>
  <sheetViews>
    <sheetView topLeftCell="A2" workbookViewId="0">
      <selection activeCell="C2" sqref="C2:C29"/>
    </sheetView>
  </sheetViews>
  <sheetFormatPr defaultRowHeight="15" x14ac:dyDescent="0.25"/>
  <cols>
    <col min="1" max="1" width="12.5703125" style="1" customWidth="1"/>
    <col min="2" max="2" width="17.5703125" style="1" bestFit="1" customWidth="1"/>
    <col min="3" max="3" width="14" style="1" bestFit="1" customWidth="1"/>
    <col min="4" max="4" width="16" style="1" customWidth="1"/>
    <col min="5" max="5" width="53.7109375" style="1" bestFit="1" customWidth="1"/>
    <col min="6" max="6" width="13.140625" style="1" customWidth="1"/>
    <col min="7" max="7" width="14.140625" style="1" customWidth="1"/>
    <col min="8" max="8" width="19" style="1" bestFit="1" customWidth="1"/>
    <col min="9" max="9" width="63.85546875" style="1" bestFit="1" customWidth="1"/>
    <col min="10" max="10" width="21" style="1" bestFit="1" customWidth="1"/>
    <col min="11" max="11" width="16.28515625" style="1" customWidth="1"/>
    <col min="12" max="12" width="15.42578125" style="1" customWidth="1"/>
    <col min="13" max="13" width="9.140625" style="1"/>
    <col min="14" max="14" width="19.7109375" style="1" bestFit="1" customWidth="1"/>
    <col min="15" max="15" width="15" style="1" customWidth="1"/>
    <col min="16" max="16" width="13.140625" style="1" customWidth="1"/>
    <col min="17" max="17" width="13" style="1" customWidth="1"/>
    <col min="18" max="18" width="14.140625" style="1" customWidth="1"/>
    <col min="19" max="19" width="17" style="1" customWidth="1"/>
    <col min="20" max="20" width="16.42578125" style="1" customWidth="1"/>
    <col min="21" max="21" width="14.7109375" style="1" customWidth="1"/>
    <col min="22" max="22" width="13.85546875" style="1" customWidth="1"/>
    <col min="23" max="23" width="19.140625" style="1" customWidth="1"/>
    <col min="24" max="24" width="37.5703125" style="1" bestFit="1" customWidth="1"/>
    <col min="25" max="25" width="14.85546875" style="1" customWidth="1"/>
    <col min="26" max="16384" width="9.140625" style="1"/>
  </cols>
  <sheetData>
    <row r="1" spans="1:29" ht="63.75" x14ac:dyDescent="0.25">
      <c r="A1" s="2" t="s">
        <v>23</v>
      </c>
      <c r="B1" s="3" t="s">
        <v>24</v>
      </c>
      <c r="C1" s="3" t="s">
        <v>25</v>
      </c>
      <c r="D1" s="3" t="s">
        <v>26</v>
      </c>
      <c r="E1" s="4" t="s">
        <v>27</v>
      </c>
      <c r="F1" s="3" t="s">
        <v>28</v>
      </c>
      <c r="G1" s="3" t="s">
        <v>29</v>
      </c>
      <c r="H1" s="3" t="s">
        <v>30</v>
      </c>
      <c r="I1" s="5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3" t="s">
        <v>36</v>
      </c>
      <c r="O1" s="3" t="s">
        <v>37</v>
      </c>
      <c r="P1" s="3" t="s">
        <v>38</v>
      </c>
      <c r="Q1" s="3" t="s">
        <v>39</v>
      </c>
      <c r="R1" s="3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6" t="s">
        <v>48</v>
      </c>
      <c r="AA1" s="6" t="s">
        <v>49</v>
      </c>
      <c r="AB1" s="6" t="s">
        <v>50</v>
      </c>
      <c r="AC1" s="6" t="s">
        <v>51</v>
      </c>
    </row>
    <row r="2" spans="1:29" x14ac:dyDescent="0.25">
      <c r="A2" s="1" t="s">
        <v>79</v>
      </c>
      <c r="B2" s="1" t="s">
        <v>76</v>
      </c>
      <c r="C2" s="1" t="s">
        <v>459</v>
      </c>
      <c r="D2" s="1" t="s">
        <v>82</v>
      </c>
      <c r="E2" s="1" t="s">
        <v>78</v>
      </c>
      <c r="H2" s="7" t="s">
        <v>0</v>
      </c>
      <c r="I2" s="1" t="s">
        <v>75</v>
      </c>
      <c r="Q2" s="1" t="s">
        <v>53</v>
      </c>
      <c r="S2" s="7" t="s">
        <v>448</v>
      </c>
      <c r="U2" s="1" t="s">
        <v>393</v>
      </c>
    </row>
    <row r="3" spans="1:29" x14ac:dyDescent="0.25">
      <c r="A3" s="1" t="s">
        <v>79</v>
      </c>
      <c r="B3" s="1" t="s">
        <v>77</v>
      </c>
      <c r="C3" s="1" t="s">
        <v>459</v>
      </c>
      <c r="D3" s="1" t="s">
        <v>82</v>
      </c>
      <c r="E3" s="1" t="s">
        <v>78</v>
      </c>
      <c r="H3" s="7" t="s">
        <v>0</v>
      </c>
      <c r="I3" s="1" t="s">
        <v>75</v>
      </c>
      <c r="Q3" s="1" t="s">
        <v>53</v>
      </c>
      <c r="S3" s="7" t="s">
        <v>448</v>
      </c>
      <c r="U3" s="1" t="s">
        <v>393</v>
      </c>
    </row>
    <row r="4" spans="1:29" x14ac:dyDescent="0.25">
      <c r="A4" s="1" t="s">
        <v>84</v>
      </c>
      <c r="B4" s="1" t="s">
        <v>83</v>
      </c>
      <c r="C4" s="1" t="s">
        <v>459</v>
      </c>
      <c r="D4" s="1" t="s">
        <v>82</v>
      </c>
      <c r="E4" s="1" t="s">
        <v>80</v>
      </c>
      <c r="H4" s="1" t="s">
        <v>8</v>
      </c>
      <c r="I4" s="1" t="s">
        <v>81</v>
      </c>
      <c r="L4" s="1" t="s">
        <v>422</v>
      </c>
      <c r="N4" s="1" t="s">
        <v>414</v>
      </c>
      <c r="Q4" s="1" t="s">
        <v>53</v>
      </c>
      <c r="S4" s="7" t="s">
        <v>448</v>
      </c>
      <c r="U4" s="1" t="s">
        <v>394</v>
      </c>
      <c r="X4" s="27" t="s">
        <v>452</v>
      </c>
      <c r="Y4" s="1" t="s">
        <v>53</v>
      </c>
    </row>
    <row r="5" spans="1:29" x14ac:dyDescent="0.25">
      <c r="A5" s="1" t="s">
        <v>90</v>
      </c>
      <c r="B5" s="1" t="s">
        <v>89</v>
      </c>
      <c r="C5" s="1" t="s">
        <v>459</v>
      </c>
      <c r="D5" s="1" t="s">
        <v>82</v>
      </c>
      <c r="E5" s="1" t="s">
        <v>87</v>
      </c>
      <c r="H5" s="1" t="s">
        <v>86</v>
      </c>
      <c r="I5" s="1" t="s">
        <v>85</v>
      </c>
      <c r="J5" s="1" t="s">
        <v>88</v>
      </c>
      <c r="N5" s="1" t="s">
        <v>415</v>
      </c>
      <c r="Q5" s="1" t="s">
        <v>53</v>
      </c>
      <c r="S5" s="7" t="s">
        <v>448</v>
      </c>
      <c r="U5" s="1" t="s">
        <v>394</v>
      </c>
      <c r="X5" s="27" t="s">
        <v>452</v>
      </c>
      <c r="Y5" s="1" t="s">
        <v>53</v>
      </c>
    </row>
    <row r="6" spans="1:29" x14ac:dyDescent="0.25">
      <c r="A6" s="1" t="s">
        <v>1</v>
      </c>
      <c r="B6" s="1" t="s">
        <v>92</v>
      </c>
      <c r="C6" s="1" t="s">
        <v>459</v>
      </c>
      <c r="D6" s="1" t="s">
        <v>82</v>
      </c>
      <c r="E6" s="1" t="s">
        <v>105</v>
      </c>
      <c r="H6" s="7" t="s">
        <v>0</v>
      </c>
      <c r="I6" s="1" t="s">
        <v>91</v>
      </c>
      <c r="Q6" s="1" t="s">
        <v>53</v>
      </c>
      <c r="S6" s="7" t="s">
        <v>448</v>
      </c>
      <c r="U6" s="1" t="s">
        <v>393</v>
      </c>
    </row>
    <row r="7" spans="1:29" x14ac:dyDescent="0.25">
      <c r="A7" s="1" t="s">
        <v>1</v>
      </c>
      <c r="B7" s="1" t="s">
        <v>93</v>
      </c>
      <c r="C7" s="1" t="s">
        <v>459</v>
      </c>
      <c r="D7" s="1" t="s">
        <v>82</v>
      </c>
      <c r="E7" s="1" t="s">
        <v>105</v>
      </c>
      <c r="H7" s="7" t="s">
        <v>0</v>
      </c>
      <c r="I7" s="1" t="s">
        <v>91</v>
      </c>
      <c r="Q7" s="1" t="s">
        <v>53</v>
      </c>
      <c r="S7" s="7" t="s">
        <v>448</v>
      </c>
      <c r="U7" s="1" t="s">
        <v>393</v>
      </c>
    </row>
    <row r="8" spans="1:29" x14ac:dyDescent="0.25">
      <c r="A8" s="1" t="s">
        <v>1</v>
      </c>
      <c r="B8" s="1" t="s">
        <v>94</v>
      </c>
      <c r="C8" s="1" t="s">
        <v>459</v>
      </c>
      <c r="D8" s="1" t="s">
        <v>82</v>
      </c>
      <c r="E8" s="1" t="s">
        <v>105</v>
      </c>
      <c r="H8" s="7" t="s">
        <v>0</v>
      </c>
      <c r="I8" s="1" t="s">
        <v>91</v>
      </c>
      <c r="Q8" s="1" t="s">
        <v>53</v>
      </c>
      <c r="S8" s="7" t="s">
        <v>448</v>
      </c>
      <c r="U8" s="1" t="s">
        <v>393</v>
      </c>
    </row>
    <row r="9" spans="1:29" x14ac:dyDescent="0.25">
      <c r="A9" s="1" t="s">
        <v>1</v>
      </c>
      <c r="B9" s="1" t="s">
        <v>95</v>
      </c>
      <c r="C9" s="1" t="s">
        <v>459</v>
      </c>
      <c r="D9" s="1" t="s">
        <v>82</v>
      </c>
      <c r="E9" s="1" t="s">
        <v>106</v>
      </c>
      <c r="H9" s="7" t="s">
        <v>0</v>
      </c>
      <c r="I9" s="1" t="s">
        <v>107</v>
      </c>
      <c r="Q9" s="1" t="s">
        <v>53</v>
      </c>
      <c r="S9" s="7" t="s">
        <v>448</v>
      </c>
      <c r="U9" s="1" t="s">
        <v>393</v>
      </c>
    </row>
    <row r="10" spans="1:29" x14ac:dyDescent="0.25">
      <c r="A10" s="1" t="s">
        <v>1</v>
      </c>
      <c r="B10" s="1" t="s">
        <v>96</v>
      </c>
      <c r="C10" s="1" t="s">
        <v>459</v>
      </c>
      <c r="D10" s="1" t="s">
        <v>82</v>
      </c>
      <c r="E10" s="1" t="s">
        <v>106</v>
      </c>
      <c r="H10" s="7" t="s">
        <v>0</v>
      </c>
      <c r="I10" s="1" t="s">
        <v>107</v>
      </c>
      <c r="Q10" s="1" t="s">
        <v>53</v>
      </c>
      <c r="S10" s="7" t="s">
        <v>448</v>
      </c>
      <c r="U10" s="1" t="s">
        <v>393</v>
      </c>
    </row>
    <row r="11" spans="1:29" x14ac:dyDescent="0.25">
      <c r="A11" s="1" t="s">
        <v>1</v>
      </c>
      <c r="B11" s="1" t="s">
        <v>97</v>
      </c>
      <c r="C11" s="1" t="s">
        <v>459</v>
      </c>
      <c r="D11" s="1" t="s">
        <v>82</v>
      </c>
      <c r="E11" s="1" t="s">
        <v>108</v>
      </c>
      <c r="H11" s="7" t="s">
        <v>0</v>
      </c>
      <c r="I11" s="8">
        <v>704</v>
      </c>
      <c r="Q11" s="1" t="s">
        <v>53</v>
      </c>
      <c r="S11" s="7" t="s">
        <v>448</v>
      </c>
      <c r="U11" s="1" t="s">
        <v>393</v>
      </c>
    </row>
    <row r="12" spans="1:29" x14ac:dyDescent="0.25">
      <c r="A12" s="1" t="s">
        <v>1</v>
      </c>
      <c r="B12" s="1" t="s">
        <v>98</v>
      </c>
      <c r="C12" s="1" t="s">
        <v>459</v>
      </c>
      <c r="D12" s="1" t="s">
        <v>82</v>
      </c>
      <c r="E12" s="1" t="s">
        <v>108</v>
      </c>
      <c r="H12" s="7" t="s">
        <v>0</v>
      </c>
      <c r="I12" s="8">
        <v>704</v>
      </c>
      <c r="Q12" s="1" t="s">
        <v>53</v>
      </c>
      <c r="S12" s="7" t="s">
        <v>448</v>
      </c>
      <c r="U12" s="1" t="s">
        <v>393</v>
      </c>
    </row>
    <row r="13" spans="1:29" x14ac:dyDescent="0.25">
      <c r="A13" s="1" t="s">
        <v>1</v>
      </c>
      <c r="B13" s="1" t="s">
        <v>99</v>
      </c>
      <c r="C13" s="1" t="s">
        <v>459</v>
      </c>
      <c r="D13" s="1" t="s">
        <v>82</v>
      </c>
      <c r="E13" s="1" t="s">
        <v>109</v>
      </c>
      <c r="H13" s="7" t="s">
        <v>0</v>
      </c>
      <c r="I13" s="1" t="s">
        <v>91</v>
      </c>
      <c r="Q13" s="1" t="s">
        <v>53</v>
      </c>
      <c r="S13" s="7" t="s">
        <v>448</v>
      </c>
      <c r="U13" s="1" t="s">
        <v>393</v>
      </c>
    </row>
    <row r="14" spans="1:29" x14ac:dyDescent="0.25">
      <c r="A14" s="1" t="s">
        <v>1</v>
      </c>
      <c r="B14" s="1" t="s">
        <v>100</v>
      </c>
      <c r="C14" s="1" t="s">
        <v>459</v>
      </c>
      <c r="D14" s="1" t="s">
        <v>82</v>
      </c>
      <c r="E14" s="1" t="s">
        <v>109</v>
      </c>
      <c r="H14" s="7" t="s">
        <v>0</v>
      </c>
      <c r="I14" s="1" t="s">
        <v>91</v>
      </c>
      <c r="Q14" s="1" t="s">
        <v>53</v>
      </c>
      <c r="S14" s="7" t="s">
        <v>448</v>
      </c>
      <c r="U14" s="1" t="s">
        <v>393</v>
      </c>
    </row>
    <row r="15" spans="1:29" x14ac:dyDescent="0.25">
      <c r="A15" s="1" t="s">
        <v>1</v>
      </c>
      <c r="B15" s="1" t="s">
        <v>101</v>
      </c>
      <c r="C15" s="1" t="s">
        <v>459</v>
      </c>
      <c r="D15" s="1" t="s">
        <v>82</v>
      </c>
      <c r="E15" s="1" t="s">
        <v>106</v>
      </c>
      <c r="H15" s="7" t="s">
        <v>0</v>
      </c>
      <c r="I15" s="1" t="s">
        <v>107</v>
      </c>
      <c r="Q15" s="1" t="s">
        <v>53</v>
      </c>
      <c r="S15" s="7" t="s">
        <v>448</v>
      </c>
      <c r="U15" s="1" t="s">
        <v>393</v>
      </c>
    </row>
    <row r="16" spans="1:29" x14ac:dyDescent="0.25">
      <c r="A16" s="1" t="s">
        <v>1</v>
      </c>
      <c r="B16" s="1" t="s">
        <v>102</v>
      </c>
      <c r="C16" s="1" t="s">
        <v>459</v>
      </c>
      <c r="D16" s="1" t="s">
        <v>82</v>
      </c>
      <c r="E16" s="1" t="s">
        <v>109</v>
      </c>
      <c r="H16" s="7" t="s">
        <v>0</v>
      </c>
      <c r="I16" s="1" t="s">
        <v>91</v>
      </c>
      <c r="Q16" s="1" t="s">
        <v>53</v>
      </c>
      <c r="S16" s="7" t="s">
        <v>448</v>
      </c>
      <c r="U16" s="1" t="s">
        <v>393</v>
      </c>
    </row>
    <row r="17" spans="1:25" x14ac:dyDescent="0.25">
      <c r="A17" s="1" t="s">
        <v>1</v>
      </c>
      <c r="B17" s="1" t="s">
        <v>103</v>
      </c>
      <c r="C17" s="1" t="s">
        <v>459</v>
      </c>
      <c r="D17" s="1" t="s">
        <v>82</v>
      </c>
      <c r="E17" s="1" t="s">
        <v>110</v>
      </c>
      <c r="H17" s="7" t="s">
        <v>0</v>
      </c>
      <c r="I17" s="1" t="s">
        <v>111</v>
      </c>
      <c r="Q17" s="1" t="s">
        <v>53</v>
      </c>
      <c r="S17" s="7" t="s">
        <v>448</v>
      </c>
      <c r="U17" s="1" t="s">
        <v>393</v>
      </c>
    </row>
    <row r="18" spans="1:25" x14ac:dyDescent="0.25">
      <c r="A18" s="1" t="s">
        <v>1</v>
      </c>
      <c r="B18" s="1" t="s">
        <v>104</v>
      </c>
      <c r="C18" s="1" t="s">
        <v>459</v>
      </c>
      <c r="D18" s="1" t="s">
        <v>82</v>
      </c>
      <c r="E18" s="1" t="s">
        <v>110</v>
      </c>
      <c r="H18" s="7" t="s">
        <v>0</v>
      </c>
      <c r="I18" s="1" t="s">
        <v>111</v>
      </c>
      <c r="Q18" s="1" t="s">
        <v>53</v>
      </c>
      <c r="S18" s="7" t="s">
        <v>448</v>
      </c>
      <c r="U18" s="1" t="s">
        <v>393</v>
      </c>
    </row>
    <row r="19" spans="1:25" x14ac:dyDescent="0.25">
      <c r="A19" s="1" t="s">
        <v>1</v>
      </c>
      <c r="B19" s="1" t="s">
        <v>412</v>
      </c>
      <c r="C19" s="1" t="s">
        <v>459</v>
      </c>
      <c r="D19" s="1" t="s">
        <v>82</v>
      </c>
      <c r="E19" s="1" t="s">
        <v>112</v>
      </c>
      <c r="H19" s="7" t="s">
        <v>0</v>
      </c>
      <c r="I19" s="1" t="s">
        <v>107</v>
      </c>
      <c r="Q19" s="1" t="s">
        <v>53</v>
      </c>
      <c r="S19" s="7" t="s">
        <v>448</v>
      </c>
      <c r="U19" s="1" t="s">
        <v>393</v>
      </c>
    </row>
    <row r="20" spans="1:25" x14ac:dyDescent="0.25">
      <c r="A20" s="1" t="s">
        <v>9</v>
      </c>
      <c r="B20" s="1" t="s">
        <v>410</v>
      </c>
      <c r="C20" s="1" t="s">
        <v>459</v>
      </c>
      <c r="D20" s="1" t="s">
        <v>82</v>
      </c>
      <c r="E20" s="1" t="s">
        <v>164</v>
      </c>
      <c r="H20" s="8" t="s">
        <v>163</v>
      </c>
      <c r="I20" s="1" t="s">
        <v>162</v>
      </c>
      <c r="Q20" s="1" t="s">
        <v>53</v>
      </c>
      <c r="S20" s="7" t="s">
        <v>448</v>
      </c>
      <c r="U20" s="1" t="s">
        <v>393</v>
      </c>
    </row>
    <row r="21" spans="1:25" x14ac:dyDescent="0.25">
      <c r="A21" s="1" t="s">
        <v>117</v>
      </c>
      <c r="B21" s="1" t="s">
        <v>114</v>
      </c>
      <c r="C21" s="1" t="s">
        <v>459</v>
      </c>
      <c r="D21" s="1" t="s">
        <v>82</v>
      </c>
      <c r="E21" s="1" t="s">
        <v>113</v>
      </c>
      <c r="H21" s="1" t="s">
        <v>163</v>
      </c>
      <c r="I21" s="1" t="s">
        <v>116</v>
      </c>
      <c r="L21" s="1" t="s">
        <v>418</v>
      </c>
      <c r="M21" s="1" t="s">
        <v>417</v>
      </c>
      <c r="N21" s="1" t="s">
        <v>416</v>
      </c>
      <c r="Q21" s="1" t="s">
        <v>53</v>
      </c>
      <c r="S21" s="7" t="s">
        <v>448</v>
      </c>
      <c r="U21" s="1" t="s">
        <v>394</v>
      </c>
      <c r="X21" s="27" t="s">
        <v>452</v>
      </c>
      <c r="Y21" s="1" t="s">
        <v>53</v>
      </c>
    </row>
    <row r="22" spans="1:25" x14ac:dyDescent="0.25">
      <c r="A22" s="1" t="s">
        <v>11</v>
      </c>
      <c r="B22" s="1" t="s">
        <v>411</v>
      </c>
      <c r="C22" s="1" t="s">
        <v>459</v>
      </c>
      <c r="D22" s="1" t="s">
        <v>82</v>
      </c>
      <c r="E22" s="1" t="s">
        <v>164</v>
      </c>
      <c r="H22" s="8" t="s">
        <v>163</v>
      </c>
      <c r="I22" s="1" t="s">
        <v>162</v>
      </c>
      <c r="Q22" s="1" t="s">
        <v>53</v>
      </c>
      <c r="S22" s="7" t="s">
        <v>448</v>
      </c>
      <c r="U22" s="1" t="s">
        <v>393</v>
      </c>
    </row>
    <row r="23" spans="1:25" x14ac:dyDescent="0.25">
      <c r="A23" s="1" t="s">
        <v>13</v>
      </c>
      <c r="B23" s="1" t="s">
        <v>121</v>
      </c>
      <c r="C23" s="1" t="s">
        <v>459</v>
      </c>
      <c r="D23" s="1" t="s">
        <v>82</v>
      </c>
      <c r="E23" s="1" t="s">
        <v>118</v>
      </c>
      <c r="H23" s="7" t="s">
        <v>0</v>
      </c>
      <c r="I23" s="1" t="s">
        <v>119</v>
      </c>
      <c r="Q23" s="1" t="s">
        <v>53</v>
      </c>
      <c r="S23" s="7" t="s">
        <v>448</v>
      </c>
      <c r="U23" s="1" t="s">
        <v>393</v>
      </c>
    </row>
    <row r="24" spans="1:25" x14ac:dyDescent="0.25">
      <c r="A24" s="1" t="s">
        <v>13</v>
      </c>
      <c r="B24" s="1" t="s">
        <v>120</v>
      </c>
      <c r="C24" s="1" t="s">
        <v>459</v>
      </c>
      <c r="D24" s="1" t="s">
        <v>82</v>
      </c>
      <c r="E24" s="1" t="s">
        <v>118</v>
      </c>
      <c r="H24" s="7" t="s">
        <v>0</v>
      </c>
      <c r="I24" s="1" t="s">
        <v>119</v>
      </c>
      <c r="Q24" s="1" t="s">
        <v>53</v>
      </c>
      <c r="S24" s="7" t="s">
        <v>448</v>
      </c>
      <c r="U24" s="1" t="s">
        <v>393</v>
      </c>
    </row>
    <row r="25" spans="1:25" x14ac:dyDescent="0.25">
      <c r="A25" s="1" t="s">
        <v>15</v>
      </c>
      <c r="B25" s="1" t="s">
        <v>127</v>
      </c>
      <c r="C25" s="1" t="s">
        <v>459</v>
      </c>
      <c r="D25" s="1" t="s">
        <v>82</v>
      </c>
      <c r="E25" s="1" t="s">
        <v>122</v>
      </c>
      <c r="H25" s="1" t="s">
        <v>125</v>
      </c>
      <c r="I25" s="1" t="s">
        <v>126</v>
      </c>
      <c r="J25" s="1" t="s">
        <v>123</v>
      </c>
      <c r="Q25" s="1" t="s">
        <v>53</v>
      </c>
      <c r="S25" s="7" t="s">
        <v>448</v>
      </c>
      <c r="U25" s="1" t="s">
        <v>393</v>
      </c>
    </row>
    <row r="26" spans="1:25" x14ac:dyDescent="0.25">
      <c r="A26" s="1" t="s">
        <v>15</v>
      </c>
      <c r="B26" s="1" t="s">
        <v>128</v>
      </c>
      <c r="C26" s="1" t="s">
        <v>459</v>
      </c>
      <c r="D26" s="1" t="s">
        <v>82</v>
      </c>
      <c r="E26" s="1" t="s">
        <v>122</v>
      </c>
      <c r="H26" s="1" t="s">
        <v>125</v>
      </c>
      <c r="I26" s="1" t="s">
        <v>126</v>
      </c>
      <c r="J26" s="1" t="s">
        <v>124</v>
      </c>
      <c r="Q26" s="1" t="s">
        <v>53</v>
      </c>
      <c r="S26" s="7" t="s">
        <v>448</v>
      </c>
      <c r="U26" s="1" t="s">
        <v>393</v>
      </c>
    </row>
    <row r="27" spans="1:25" x14ac:dyDescent="0.25">
      <c r="A27" s="1" t="s">
        <v>66</v>
      </c>
      <c r="B27" s="1" t="s">
        <v>130</v>
      </c>
      <c r="C27" s="1" t="s">
        <v>459</v>
      </c>
      <c r="D27" s="1" t="s">
        <v>82</v>
      </c>
      <c r="E27" s="1" t="s">
        <v>129</v>
      </c>
      <c r="H27" s="7" t="s">
        <v>0</v>
      </c>
      <c r="I27" s="1" t="s">
        <v>132</v>
      </c>
      <c r="L27" s="1" t="s">
        <v>421</v>
      </c>
      <c r="M27" s="1">
        <v>1</v>
      </c>
      <c r="N27" s="24" t="s">
        <v>420</v>
      </c>
      <c r="O27" s="24" t="s">
        <v>419</v>
      </c>
      <c r="Q27" s="1" t="s">
        <v>53</v>
      </c>
      <c r="S27" s="7" t="s">
        <v>448</v>
      </c>
      <c r="U27" s="1" t="s">
        <v>394</v>
      </c>
      <c r="X27" s="27" t="s">
        <v>453</v>
      </c>
      <c r="Y27" s="1" t="s">
        <v>53</v>
      </c>
    </row>
    <row r="28" spans="1:25" x14ac:dyDescent="0.25">
      <c r="A28" s="1" t="s">
        <v>66</v>
      </c>
      <c r="B28" s="1" t="s">
        <v>131</v>
      </c>
      <c r="C28" s="1" t="s">
        <v>459</v>
      </c>
      <c r="D28" s="1" t="s">
        <v>82</v>
      </c>
      <c r="E28" s="1" t="s">
        <v>129</v>
      </c>
      <c r="H28" s="7" t="s">
        <v>0</v>
      </c>
      <c r="I28" s="1" t="s">
        <v>132</v>
      </c>
      <c r="L28" s="1" t="s">
        <v>421</v>
      </c>
      <c r="M28" s="1">
        <v>1</v>
      </c>
      <c r="N28" s="24" t="s">
        <v>420</v>
      </c>
      <c r="O28" s="24" t="s">
        <v>419</v>
      </c>
      <c r="Q28" s="1" t="s">
        <v>53</v>
      </c>
      <c r="S28" s="7" t="s">
        <v>448</v>
      </c>
      <c r="U28" s="1" t="s">
        <v>394</v>
      </c>
      <c r="X28" s="27" t="s">
        <v>453</v>
      </c>
      <c r="Y28" s="1" t="s">
        <v>53</v>
      </c>
    </row>
    <row r="29" spans="1:25" x14ac:dyDescent="0.25">
      <c r="A29" s="1" t="s">
        <v>427</v>
      </c>
      <c r="B29" s="1" t="s">
        <v>437</v>
      </c>
      <c r="C29" s="1" t="s">
        <v>459</v>
      </c>
      <c r="D29" s="1" t="s">
        <v>82</v>
      </c>
      <c r="E29" s="1" t="s">
        <v>433</v>
      </c>
      <c r="H29" s="1" t="s">
        <v>428</v>
      </c>
      <c r="I29" s="1" t="s">
        <v>438</v>
      </c>
      <c r="L29" s="1" t="s">
        <v>439</v>
      </c>
      <c r="Q29" s="1" t="s">
        <v>53</v>
      </c>
      <c r="S29" s="7" t="s">
        <v>448</v>
      </c>
      <c r="U29" s="1" t="s">
        <v>393</v>
      </c>
    </row>
  </sheetData>
  <pageMargins left="0.511811024" right="0.511811024" top="0.78740157499999996" bottom="0.78740157499999996" header="0.31496062000000002" footer="0.31496062000000002"/>
  <pageSetup paperSize="9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45120-D625-4FE1-BD0C-921722E34631}">
  <sheetPr codeName="Planilha3">
    <tabColor theme="4" tint="0.59999389629810485"/>
    <pageSetUpPr fitToPage="1"/>
  </sheetPr>
  <dimension ref="A1:AC34"/>
  <sheetViews>
    <sheetView topLeftCell="A8" workbookViewId="0">
      <selection activeCell="C2" sqref="C2:C34"/>
    </sheetView>
  </sheetViews>
  <sheetFormatPr defaultRowHeight="15" x14ac:dyDescent="0.25"/>
  <cols>
    <col min="1" max="1" width="9.140625" style="1"/>
    <col min="2" max="2" width="17.5703125" style="1" bestFit="1" customWidth="1"/>
    <col min="3" max="3" width="14" style="1" bestFit="1" customWidth="1"/>
    <col min="4" max="4" width="9.140625" style="1"/>
    <col min="5" max="5" width="53.7109375" style="1" bestFit="1" customWidth="1"/>
    <col min="6" max="6" width="9.140625" style="1"/>
    <col min="7" max="7" width="12.7109375" style="1" customWidth="1"/>
    <col min="8" max="8" width="22.140625" style="1" customWidth="1"/>
    <col min="9" max="9" width="63.85546875" style="1" bestFit="1" customWidth="1"/>
    <col min="10" max="10" width="21" style="1" bestFit="1" customWidth="1"/>
    <col min="11" max="13" width="9.140625" style="1"/>
    <col min="14" max="14" width="18.28515625" style="1" bestFit="1" customWidth="1"/>
    <col min="15" max="15" width="17" style="1" customWidth="1"/>
    <col min="16" max="16" width="19.5703125" style="1" customWidth="1"/>
    <col min="17" max="17" width="9.140625" style="1"/>
    <col min="18" max="18" width="14.28515625" style="1" customWidth="1"/>
    <col min="19" max="19" width="21.140625" style="1" customWidth="1"/>
    <col min="20" max="20" width="21.42578125" style="1" customWidth="1"/>
    <col min="21" max="21" width="9.140625" style="1"/>
    <col min="22" max="22" width="19.28515625" style="1" customWidth="1"/>
    <col min="23" max="23" width="17" style="1" customWidth="1"/>
    <col min="24" max="24" width="37.5703125" style="1" bestFit="1" customWidth="1"/>
    <col min="25" max="25" width="17.85546875" style="1" customWidth="1"/>
    <col min="26" max="16384" width="9.140625" style="1"/>
  </cols>
  <sheetData>
    <row r="1" spans="1:29" ht="63.75" x14ac:dyDescent="0.25">
      <c r="A1" s="2" t="s">
        <v>23</v>
      </c>
      <c r="B1" s="3" t="s">
        <v>24</v>
      </c>
      <c r="C1" s="3" t="s">
        <v>25</v>
      </c>
      <c r="D1" s="3" t="s">
        <v>26</v>
      </c>
      <c r="E1" s="4" t="s">
        <v>27</v>
      </c>
      <c r="F1" s="3" t="s">
        <v>28</v>
      </c>
      <c r="G1" s="3" t="s">
        <v>29</v>
      </c>
      <c r="H1" s="3" t="s">
        <v>30</v>
      </c>
      <c r="I1" s="5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3" t="s">
        <v>36</v>
      </c>
      <c r="O1" s="3" t="s">
        <v>37</v>
      </c>
      <c r="P1" s="3" t="s">
        <v>38</v>
      </c>
      <c r="Q1" s="3" t="s">
        <v>39</v>
      </c>
      <c r="R1" s="3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6" t="s">
        <v>48</v>
      </c>
      <c r="AA1" s="6" t="s">
        <v>49</v>
      </c>
      <c r="AB1" s="6" t="s">
        <v>50</v>
      </c>
      <c r="AC1" s="6" t="s">
        <v>51</v>
      </c>
    </row>
    <row r="2" spans="1:29" x14ac:dyDescent="0.25">
      <c r="A2" s="1" t="s">
        <v>79</v>
      </c>
      <c r="B2" s="1" t="s">
        <v>137</v>
      </c>
      <c r="C2" s="1" t="s">
        <v>459</v>
      </c>
      <c r="D2" s="1" t="s">
        <v>133</v>
      </c>
      <c r="E2" s="1" t="s">
        <v>134</v>
      </c>
      <c r="H2" s="8" t="s">
        <v>0</v>
      </c>
      <c r="I2" s="1" t="s">
        <v>75</v>
      </c>
      <c r="Q2" s="1" t="s">
        <v>53</v>
      </c>
      <c r="S2" s="7" t="s">
        <v>448</v>
      </c>
      <c r="U2" s="1" t="s">
        <v>393</v>
      </c>
    </row>
    <row r="3" spans="1:29" x14ac:dyDescent="0.25">
      <c r="A3" s="1" t="s">
        <v>79</v>
      </c>
      <c r="B3" s="1" t="s">
        <v>138</v>
      </c>
      <c r="C3" s="1" t="s">
        <v>459</v>
      </c>
      <c r="D3" s="1" t="s">
        <v>133</v>
      </c>
      <c r="E3" s="1" t="s">
        <v>134</v>
      </c>
      <c r="H3" s="8" t="s">
        <v>0</v>
      </c>
      <c r="I3" s="1" t="s">
        <v>75</v>
      </c>
      <c r="Q3" s="1" t="s">
        <v>53</v>
      </c>
      <c r="S3" s="7" t="s">
        <v>448</v>
      </c>
      <c r="U3" s="1" t="s">
        <v>393</v>
      </c>
    </row>
    <row r="4" spans="1:29" x14ac:dyDescent="0.25">
      <c r="A4" s="1" t="s">
        <v>84</v>
      </c>
      <c r="B4" s="1" t="s">
        <v>139</v>
      </c>
      <c r="C4" s="1" t="s">
        <v>459</v>
      </c>
      <c r="D4" s="1" t="s">
        <v>133</v>
      </c>
      <c r="E4" s="1" t="s">
        <v>80</v>
      </c>
      <c r="H4" s="8" t="s">
        <v>8</v>
      </c>
      <c r="I4" s="1" t="s">
        <v>81</v>
      </c>
      <c r="M4" s="1" t="s">
        <v>422</v>
      </c>
      <c r="N4" s="1" t="s">
        <v>414</v>
      </c>
      <c r="Q4" s="1" t="s">
        <v>53</v>
      </c>
      <c r="S4" s="7" t="s">
        <v>448</v>
      </c>
      <c r="U4" s="1" t="s">
        <v>394</v>
      </c>
      <c r="X4" s="27" t="s">
        <v>452</v>
      </c>
      <c r="Y4" s="1" t="s">
        <v>53</v>
      </c>
    </row>
    <row r="5" spans="1:29" x14ac:dyDescent="0.25">
      <c r="A5" s="1" t="s">
        <v>90</v>
      </c>
      <c r="B5" s="1" t="s">
        <v>140</v>
      </c>
      <c r="C5" s="1" t="s">
        <v>459</v>
      </c>
      <c r="D5" s="1" t="s">
        <v>133</v>
      </c>
      <c r="E5" s="1" t="s">
        <v>135</v>
      </c>
      <c r="H5" s="8" t="s">
        <v>86</v>
      </c>
      <c r="I5" s="1" t="s">
        <v>85</v>
      </c>
      <c r="J5" s="1" t="s">
        <v>88</v>
      </c>
      <c r="N5" s="1" t="s">
        <v>415</v>
      </c>
      <c r="Q5" s="1" t="s">
        <v>53</v>
      </c>
      <c r="S5" s="7" t="s">
        <v>448</v>
      </c>
      <c r="U5" s="1" t="s">
        <v>394</v>
      </c>
      <c r="X5" s="27" t="s">
        <v>452</v>
      </c>
      <c r="Y5" s="1" t="s">
        <v>53</v>
      </c>
    </row>
    <row r="6" spans="1:29" x14ac:dyDescent="0.25">
      <c r="A6" s="1" t="s">
        <v>1</v>
      </c>
      <c r="B6" s="1" t="s">
        <v>141</v>
      </c>
      <c r="C6" s="1" t="s">
        <v>459</v>
      </c>
      <c r="D6" s="1" t="s">
        <v>133</v>
      </c>
      <c r="E6" s="1" t="s">
        <v>136</v>
      </c>
      <c r="H6" s="8" t="s">
        <v>0</v>
      </c>
      <c r="I6" s="1" t="s">
        <v>91</v>
      </c>
      <c r="Q6" s="1" t="s">
        <v>53</v>
      </c>
      <c r="S6" s="7" t="s">
        <v>448</v>
      </c>
      <c r="U6" s="1" t="s">
        <v>393</v>
      </c>
    </row>
    <row r="7" spans="1:29" x14ac:dyDescent="0.25">
      <c r="A7" s="1" t="s">
        <v>1</v>
      </c>
      <c r="B7" s="1" t="s">
        <v>142</v>
      </c>
      <c r="C7" s="1" t="s">
        <v>459</v>
      </c>
      <c r="D7" s="1" t="s">
        <v>133</v>
      </c>
      <c r="E7" s="1" t="s">
        <v>136</v>
      </c>
      <c r="H7" s="8" t="s">
        <v>0</v>
      </c>
      <c r="I7" s="1" t="s">
        <v>91</v>
      </c>
      <c r="Q7" s="1" t="s">
        <v>53</v>
      </c>
      <c r="S7" s="7" t="s">
        <v>448</v>
      </c>
      <c r="U7" s="1" t="s">
        <v>393</v>
      </c>
    </row>
    <row r="8" spans="1:29" x14ac:dyDescent="0.25">
      <c r="A8" s="1" t="s">
        <v>1</v>
      </c>
      <c r="B8" s="1" t="s">
        <v>143</v>
      </c>
      <c r="C8" s="1" t="s">
        <v>459</v>
      </c>
      <c r="D8" s="1" t="s">
        <v>133</v>
      </c>
      <c r="E8" s="1" t="s">
        <v>136</v>
      </c>
      <c r="H8" s="8" t="s">
        <v>0</v>
      </c>
      <c r="I8" s="1" t="s">
        <v>91</v>
      </c>
      <c r="Q8" s="1" t="s">
        <v>53</v>
      </c>
      <c r="S8" s="7" t="s">
        <v>448</v>
      </c>
      <c r="U8" s="1" t="s">
        <v>393</v>
      </c>
    </row>
    <row r="9" spans="1:29" x14ac:dyDescent="0.25">
      <c r="A9" s="1" t="s">
        <v>1</v>
      </c>
      <c r="B9" s="1" t="s">
        <v>144</v>
      </c>
      <c r="C9" s="1" t="s">
        <v>459</v>
      </c>
      <c r="D9" s="1" t="s">
        <v>133</v>
      </c>
      <c r="E9" s="1" t="s">
        <v>106</v>
      </c>
      <c r="H9" s="8" t="s">
        <v>0</v>
      </c>
      <c r="I9" s="1" t="s">
        <v>107</v>
      </c>
      <c r="Q9" s="1" t="s">
        <v>53</v>
      </c>
      <c r="S9" s="7" t="s">
        <v>448</v>
      </c>
      <c r="U9" s="1" t="s">
        <v>393</v>
      </c>
    </row>
    <row r="10" spans="1:29" x14ac:dyDescent="0.25">
      <c r="A10" s="1" t="s">
        <v>1</v>
      </c>
      <c r="B10" s="1" t="s">
        <v>145</v>
      </c>
      <c r="C10" s="1" t="s">
        <v>459</v>
      </c>
      <c r="D10" s="1" t="s">
        <v>133</v>
      </c>
      <c r="E10" s="1" t="s">
        <v>106</v>
      </c>
      <c r="H10" s="8" t="s">
        <v>0</v>
      </c>
      <c r="I10" s="1" t="s">
        <v>107</v>
      </c>
      <c r="Q10" s="1" t="s">
        <v>53</v>
      </c>
      <c r="S10" s="7" t="s">
        <v>448</v>
      </c>
      <c r="U10" s="1" t="s">
        <v>393</v>
      </c>
    </row>
    <row r="11" spans="1:29" x14ac:dyDescent="0.25">
      <c r="A11" s="1" t="s">
        <v>1</v>
      </c>
      <c r="B11" s="1" t="s">
        <v>146</v>
      </c>
      <c r="C11" s="1" t="s">
        <v>459</v>
      </c>
      <c r="D11" s="1" t="s">
        <v>133</v>
      </c>
      <c r="E11" s="1" t="s">
        <v>108</v>
      </c>
      <c r="H11" s="8" t="s">
        <v>0</v>
      </c>
      <c r="I11" s="8">
        <v>704</v>
      </c>
      <c r="Q11" s="1" t="s">
        <v>53</v>
      </c>
      <c r="S11" s="7" t="s">
        <v>448</v>
      </c>
      <c r="U11" s="1" t="s">
        <v>393</v>
      </c>
    </row>
    <row r="12" spans="1:29" x14ac:dyDescent="0.25">
      <c r="A12" s="1" t="s">
        <v>1</v>
      </c>
      <c r="B12" s="1" t="s">
        <v>147</v>
      </c>
      <c r="C12" s="1" t="s">
        <v>459</v>
      </c>
      <c r="D12" s="1" t="s">
        <v>133</v>
      </c>
      <c r="E12" s="1" t="s">
        <v>108</v>
      </c>
      <c r="H12" s="8" t="s">
        <v>0</v>
      </c>
      <c r="I12" s="1" t="s">
        <v>107</v>
      </c>
      <c r="Q12" s="1" t="s">
        <v>53</v>
      </c>
      <c r="S12" s="7" t="s">
        <v>448</v>
      </c>
      <c r="U12" s="1" t="s">
        <v>393</v>
      </c>
    </row>
    <row r="13" spans="1:29" x14ac:dyDescent="0.25">
      <c r="A13" s="1" t="s">
        <v>1</v>
      </c>
      <c r="B13" s="1" t="s">
        <v>148</v>
      </c>
      <c r="C13" s="1" t="s">
        <v>459</v>
      </c>
      <c r="D13" s="1" t="s">
        <v>133</v>
      </c>
      <c r="E13" s="1" t="s">
        <v>109</v>
      </c>
      <c r="H13" s="8" t="s">
        <v>0</v>
      </c>
      <c r="I13" s="1" t="s">
        <v>91</v>
      </c>
      <c r="Q13" s="1" t="s">
        <v>53</v>
      </c>
      <c r="S13" s="7" t="s">
        <v>448</v>
      </c>
      <c r="U13" s="1" t="s">
        <v>393</v>
      </c>
    </row>
    <row r="14" spans="1:29" x14ac:dyDescent="0.25">
      <c r="A14" s="1" t="s">
        <v>1</v>
      </c>
      <c r="B14" s="1" t="s">
        <v>149</v>
      </c>
      <c r="C14" s="1" t="s">
        <v>459</v>
      </c>
      <c r="D14" s="1" t="s">
        <v>133</v>
      </c>
      <c r="E14" s="1" t="s">
        <v>109</v>
      </c>
      <c r="H14" s="8" t="s">
        <v>0</v>
      </c>
      <c r="I14" s="1" t="s">
        <v>91</v>
      </c>
      <c r="Q14" s="1" t="s">
        <v>53</v>
      </c>
      <c r="S14" s="7" t="s">
        <v>448</v>
      </c>
      <c r="U14" s="1" t="s">
        <v>393</v>
      </c>
    </row>
    <row r="15" spans="1:29" x14ac:dyDescent="0.25">
      <c r="A15" s="1" t="s">
        <v>1</v>
      </c>
      <c r="B15" s="1" t="s">
        <v>150</v>
      </c>
      <c r="C15" s="1" t="s">
        <v>459</v>
      </c>
      <c r="D15" s="1" t="s">
        <v>133</v>
      </c>
      <c r="E15" s="1" t="s">
        <v>106</v>
      </c>
      <c r="H15" s="8" t="s">
        <v>0</v>
      </c>
      <c r="I15" s="1" t="s">
        <v>107</v>
      </c>
      <c r="Q15" s="1" t="s">
        <v>53</v>
      </c>
      <c r="S15" s="7" t="s">
        <v>448</v>
      </c>
      <c r="U15" s="1" t="s">
        <v>393</v>
      </c>
    </row>
    <row r="16" spans="1:29" x14ac:dyDescent="0.25">
      <c r="A16" s="1" t="s">
        <v>1</v>
      </c>
      <c r="B16" s="1" t="s">
        <v>151</v>
      </c>
      <c r="C16" s="1" t="s">
        <v>459</v>
      </c>
      <c r="D16" s="1" t="s">
        <v>133</v>
      </c>
      <c r="E16" s="1" t="s">
        <v>110</v>
      </c>
      <c r="H16" s="8" t="s">
        <v>0</v>
      </c>
      <c r="I16" s="1" t="s">
        <v>111</v>
      </c>
      <c r="Q16" s="1" t="s">
        <v>53</v>
      </c>
      <c r="S16" s="7" t="s">
        <v>448</v>
      </c>
      <c r="U16" s="1" t="s">
        <v>393</v>
      </c>
    </row>
    <row r="17" spans="1:25" x14ac:dyDescent="0.25">
      <c r="A17" s="1" t="s">
        <v>1</v>
      </c>
      <c r="B17" s="1" t="s">
        <v>152</v>
      </c>
      <c r="C17" s="1" t="s">
        <v>459</v>
      </c>
      <c r="D17" s="1" t="s">
        <v>133</v>
      </c>
      <c r="E17" s="1" t="s">
        <v>110</v>
      </c>
      <c r="H17" s="8" t="s">
        <v>0</v>
      </c>
      <c r="I17" s="1" t="s">
        <v>111</v>
      </c>
      <c r="Q17" s="1" t="s">
        <v>53</v>
      </c>
      <c r="S17" s="7" t="s">
        <v>448</v>
      </c>
      <c r="U17" s="1" t="s">
        <v>393</v>
      </c>
    </row>
    <row r="18" spans="1:25" x14ac:dyDescent="0.25">
      <c r="A18" s="1" t="s">
        <v>1</v>
      </c>
      <c r="B18" s="1" t="s">
        <v>153</v>
      </c>
      <c r="C18" s="1" t="s">
        <v>459</v>
      </c>
      <c r="D18" s="1" t="s">
        <v>133</v>
      </c>
      <c r="E18" s="1" t="s">
        <v>112</v>
      </c>
      <c r="H18" s="8" t="s">
        <v>0</v>
      </c>
      <c r="I18" s="1" t="s">
        <v>107</v>
      </c>
      <c r="Q18" s="1" t="s">
        <v>53</v>
      </c>
      <c r="S18" s="7" t="s">
        <v>448</v>
      </c>
      <c r="U18" s="1" t="s">
        <v>393</v>
      </c>
    </row>
    <row r="19" spans="1:25" x14ac:dyDescent="0.25">
      <c r="A19" s="1" t="s">
        <v>1</v>
      </c>
      <c r="B19" s="1" t="s">
        <v>154</v>
      </c>
      <c r="C19" s="1" t="s">
        <v>459</v>
      </c>
      <c r="D19" s="1" t="s">
        <v>133</v>
      </c>
      <c r="E19" s="1" t="s">
        <v>109</v>
      </c>
      <c r="H19" s="8" t="s">
        <v>0</v>
      </c>
      <c r="I19" s="1" t="s">
        <v>91</v>
      </c>
      <c r="Q19" s="1" t="s">
        <v>53</v>
      </c>
      <c r="S19" s="7" t="s">
        <v>448</v>
      </c>
      <c r="U19" s="1" t="s">
        <v>393</v>
      </c>
    </row>
    <row r="20" spans="1:25" x14ac:dyDescent="0.25">
      <c r="A20" s="1" t="s">
        <v>1</v>
      </c>
      <c r="B20" s="1" t="s">
        <v>155</v>
      </c>
      <c r="C20" s="1" t="s">
        <v>459</v>
      </c>
      <c r="D20" s="1" t="s">
        <v>133</v>
      </c>
      <c r="E20" s="1" t="s">
        <v>106</v>
      </c>
      <c r="H20" s="8" t="s">
        <v>0</v>
      </c>
      <c r="I20" s="1" t="s">
        <v>107</v>
      </c>
      <c r="Q20" s="1" t="s">
        <v>53</v>
      </c>
      <c r="S20" s="7" t="s">
        <v>448</v>
      </c>
      <c r="U20" s="1" t="s">
        <v>393</v>
      </c>
    </row>
    <row r="21" spans="1:25" x14ac:dyDescent="0.25">
      <c r="A21" s="1" t="s">
        <v>117</v>
      </c>
      <c r="B21" s="1" t="s">
        <v>157</v>
      </c>
      <c r="C21" s="1" t="s">
        <v>459</v>
      </c>
      <c r="D21" s="1" t="s">
        <v>133</v>
      </c>
      <c r="E21" s="1" t="s">
        <v>113</v>
      </c>
      <c r="H21" s="1" t="s">
        <v>115</v>
      </c>
      <c r="I21" s="1" t="s">
        <v>156</v>
      </c>
      <c r="L21" s="1" t="s">
        <v>418</v>
      </c>
      <c r="M21" s="1" t="s">
        <v>417</v>
      </c>
      <c r="N21" s="1" t="s">
        <v>416</v>
      </c>
      <c r="Q21" s="1" t="s">
        <v>53</v>
      </c>
      <c r="S21" s="7" t="s">
        <v>448</v>
      </c>
      <c r="U21" s="1" t="s">
        <v>394</v>
      </c>
      <c r="X21" s="27" t="s">
        <v>452</v>
      </c>
      <c r="Y21" s="1" t="s">
        <v>53</v>
      </c>
    </row>
    <row r="22" spans="1:25" x14ac:dyDescent="0.25">
      <c r="A22" s="1" t="s">
        <v>159</v>
      </c>
      <c r="B22" s="1" t="s">
        <v>161</v>
      </c>
      <c r="C22" s="1" t="s">
        <v>459</v>
      </c>
      <c r="D22" s="1" t="s">
        <v>133</v>
      </c>
      <c r="E22" s="1" t="s">
        <v>158</v>
      </c>
      <c r="H22" s="8" t="s">
        <v>86</v>
      </c>
      <c r="I22" s="1" t="s">
        <v>160</v>
      </c>
      <c r="Q22" s="1" t="s">
        <v>53</v>
      </c>
      <c r="S22" s="7" t="s">
        <v>448</v>
      </c>
      <c r="U22" s="1" t="s">
        <v>393</v>
      </c>
    </row>
    <row r="23" spans="1:25" x14ac:dyDescent="0.25">
      <c r="A23" s="1" t="s">
        <v>165</v>
      </c>
      <c r="B23" s="1" t="s">
        <v>167</v>
      </c>
      <c r="C23" s="1" t="s">
        <v>459</v>
      </c>
      <c r="D23" s="1" t="s">
        <v>133</v>
      </c>
      <c r="E23" s="1" t="s">
        <v>164</v>
      </c>
      <c r="H23" s="8" t="s">
        <v>163</v>
      </c>
      <c r="I23" s="1" t="s">
        <v>162</v>
      </c>
      <c r="Q23" s="1" t="s">
        <v>53</v>
      </c>
      <c r="S23" s="7" t="s">
        <v>448</v>
      </c>
      <c r="U23" s="1" t="s">
        <v>393</v>
      </c>
    </row>
    <row r="24" spans="1:25" x14ac:dyDescent="0.25">
      <c r="A24" s="1" t="s">
        <v>9</v>
      </c>
      <c r="B24" s="1" t="s">
        <v>168</v>
      </c>
      <c r="C24" s="1" t="s">
        <v>459</v>
      </c>
      <c r="D24" s="1" t="s">
        <v>133</v>
      </c>
      <c r="E24" s="1" t="s">
        <v>164</v>
      </c>
      <c r="H24" s="8" t="s">
        <v>163</v>
      </c>
      <c r="I24" s="1" t="s">
        <v>162</v>
      </c>
      <c r="Q24" s="1" t="s">
        <v>53</v>
      </c>
      <c r="S24" s="7" t="s">
        <v>448</v>
      </c>
      <c r="U24" s="1" t="s">
        <v>393</v>
      </c>
    </row>
    <row r="25" spans="1:25" x14ac:dyDescent="0.25">
      <c r="A25" s="1" t="s">
        <v>166</v>
      </c>
      <c r="B25" s="1" t="s">
        <v>169</v>
      </c>
      <c r="C25" s="1" t="s">
        <v>459</v>
      </c>
      <c r="D25" s="1" t="s">
        <v>133</v>
      </c>
      <c r="E25" s="1" t="s">
        <v>164</v>
      </c>
      <c r="H25" s="8" t="s">
        <v>163</v>
      </c>
      <c r="I25" s="1" t="s">
        <v>162</v>
      </c>
      <c r="Q25" s="1" t="s">
        <v>53</v>
      </c>
      <c r="S25" s="7" t="s">
        <v>448</v>
      </c>
      <c r="U25" s="1" t="s">
        <v>393</v>
      </c>
    </row>
    <row r="26" spans="1:25" x14ac:dyDescent="0.25">
      <c r="A26" s="1" t="s">
        <v>13</v>
      </c>
      <c r="B26" s="1" t="s">
        <v>170</v>
      </c>
      <c r="C26" s="1" t="s">
        <v>459</v>
      </c>
      <c r="D26" s="1" t="s">
        <v>133</v>
      </c>
      <c r="E26" s="1" t="s">
        <v>118</v>
      </c>
      <c r="H26" s="8" t="s">
        <v>0</v>
      </c>
      <c r="I26" s="1" t="s">
        <v>119</v>
      </c>
      <c r="Q26" s="1" t="s">
        <v>53</v>
      </c>
      <c r="S26" s="7" t="s">
        <v>448</v>
      </c>
      <c r="U26" s="1" t="s">
        <v>393</v>
      </c>
    </row>
    <row r="27" spans="1:25" x14ac:dyDescent="0.25">
      <c r="A27" s="1" t="s">
        <v>13</v>
      </c>
      <c r="B27" s="1" t="s">
        <v>171</v>
      </c>
      <c r="C27" s="1" t="s">
        <v>459</v>
      </c>
      <c r="D27" s="1" t="s">
        <v>133</v>
      </c>
      <c r="E27" s="1" t="s">
        <v>118</v>
      </c>
      <c r="H27" s="8" t="s">
        <v>0</v>
      </c>
      <c r="I27" s="1" t="s">
        <v>119</v>
      </c>
      <c r="Q27" s="1" t="s">
        <v>53</v>
      </c>
      <c r="S27" s="7" t="s">
        <v>448</v>
      </c>
      <c r="U27" s="1" t="s">
        <v>393</v>
      </c>
    </row>
    <row r="28" spans="1:25" x14ac:dyDescent="0.25">
      <c r="A28" s="1" t="s">
        <v>15</v>
      </c>
      <c r="B28" s="1" t="s">
        <v>178</v>
      </c>
      <c r="C28" s="1" t="s">
        <v>459</v>
      </c>
      <c r="D28" s="1" t="s">
        <v>133</v>
      </c>
      <c r="E28" s="1" t="s">
        <v>176</v>
      </c>
      <c r="H28" s="1" t="s">
        <v>125</v>
      </c>
      <c r="I28" s="1" t="s">
        <v>172</v>
      </c>
      <c r="J28" s="1" t="s">
        <v>173</v>
      </c>
      <c r="Q28" s="1" t="s">
        <v>53</v>
      </c>
      <c r="S28" s="7" t="s">
        <v>448</v>
      </c>
      <c r="U28" s="1" t="s">
        <v>393</v>
      </c>
    </row>
    <row r="29" spans="1:25" x14ac:dyDescent="0.25">
      <c r="A29" s="1" t="s">
        <v>15</v>
      </c>
      <c r="B29" s="1" t="s">
        <v>179</v>
      </c>
      <c r="C29" s="1" t="s">
        <v>459</v>
      </c>
      <c r="D29" s="1" t="s">
        <v>133</v>
      </c>
      <c r="E29" s="1" t="s">
        <v>176</v>
      </c>
      <c r="H29" s="1" t="s">
        <v>125</v>
      </c>
      <c r="I29" s="1" t="s">
        <v>172</v>
      </c>
      <c r="J29" s="1" t="s">
        <v>174</v>
      </c>
      <c r="Q29" s="1" t="s">
        <v>53</v>
      </c>
      <c r="S29" s="7" t="s">
        <v>448</v>
      </c>
      <c r="U29" s="1" t="s">
        <v>393</v>
      </c>
    </row>
    <row r="30" spans="1:25" x14ac:dyDescent="0.25">
      <c r="A30" s="1" t="s">
        <v>15</v>
      </c>
      <c r="B30" s="1" t="s">
        <v>180</v>
      </c>
      <c r="C30" s="1" t="s">
        <v>459</v>
      </c>
      <c r="D30" s="1" t="s">
        <v>133</v>
      </c>
      <c r="E30" s="1" t="s">
        <v>177</v>
      </c>
      <c r="H30" s="1" t="s">
        <v>125</v>
      </c>
      <c r="I30" s="1" t="s">
        <v>175</v>
      </c>
      <c r="Q30" s="1" t="s">
        <v>53</v>
      </c>
      <c r="S30" s="7" t="s">
        <v>448</v>
      </c>
      <c r="U30" s="1" t="s">
        <v>393</v>
      </c>
    </row>
    <row r="31" spans="1:25" x14ac:dyDescent="0.25">
      <c r="A31" s="1" t="s">
        <v>15</v>
      </c>
      <c r="B31" s="1" t="s">
        <v>181</v>
      </c>
      <c r="C31" s="1" t="s">
        <v>459</v>
      </c>
      <c r="D31" s="1" t="s">
        <v>133</v>
      </c>
      <c r="E31" s="1" t="s">
        <v>177</v>
      </c>
      <c r="H31" s="1" t="s">
        <v>125</v>
      </c>
      <c r="I31" s="1" t="s">
        <v>175</v>
      </c>
      <c r="Q31" s="1" t="s">
        <v>53</v>
      </c>
      <c r="S31" s="7" t="s">
        <v>448</v>
      </c>
      <c r="U31" s="1" t="s">
        <v>393</v>
      </c>
    </row>
    <row r="32" spans="1:25" x14ac:dyDescent="0.25">
      <c r="A32" s="1" t="s">
        <v>66</v>
      </c>
      <c r="B32" s="1" t="s">
        <v>182</v>
      </c>
      <c r="C32" s="1" t="s">
        <v>459</v>
      </c>
      <c r="D32" s="1" t="s">
        <v>133</v>
      </c>
      <c r="E32" s="8" t="s">
        <v>129</v>
      </c>
      <c r="F32" s="8"/>
      <c r="G32" s="8"/>
      <c r="H32" s="8" t="s">
        <v>0</v>
      </c>
      <c r="I32" s="8" t="s">
        <v>132</v>
      </c>
      <c r="L32" s="1" t="s">
        <v>421</v>
      </c>
      <c r="M32" s="1">
        <v>1</v>
      </c>
      <c r="N32" s="24" t="s">
        <v>420</v>
      </c>
      <c r="O32" s="24" t="s">
        <v>419</v>
      </c>
      <c r="Q32" s="1" t="s">
        <v>53</v>
      </c>
      <c r="S32" s="7" t="s">
        <v>448</v>
      </c>
      <c r="U32" s="8" t="s">
        <v>394</v>
      </c>
      <c r="X32" s="27" t="s">
        <v>453</v>
      </c>
      <c r="Y32" s="1" t="s">
        <v>53</v>
      </c>
    </row>
    <row r="33" spans="1:25" x14ac:dyDescent="0.25">
      <c r="A33" s="1" t="s">
        <v>66</v>
      </c>
      <c r="B33" s="1" t="s">
        <v>183</v>
      </c>
      <c r="C33" s="1" t="s">
        <v>459</v>
      </c>
      <c r="D33" s="1" t="s">
        <v>133</v>
      </c>
      <c r="E33" s="8" t="s">
        <v>129</v>
      </c>
      <c r="F33" s="8"/>
      <c r="G33" s="8"/>
      <c r="H33" s="8" t="s">
        <v>0</v>
      </c>
      <c r="I33" s="8" t="s">
        <v>132</v>
      </c>
      <c r="L33" s="1" t="s">
        <v>421</v>
      </c>
      <c r="M33" s="1">
        <v>1</v>
      </c>
      <c r="N33" s="24" t="s">
        <v>420</v>
      </c>
      <c r="O33" s="24" t="s">
        <v>419</v>
      </c>
      <c r="Q33" s="1" t="s">
        <v>53</v>
      </c>
      <c r="S33" s="7" t="s">
        <v>448</v>
      </c>
      <c r="U33" s="8" t="s">
        <v>394</v>
      </c>
      <c r="X33" s="27" t="s">
        <v>453</v>
      </c>
      <c r="Y33" s="1" t="s">
        <v>53</v>
      </c>
    </row>
    <row r="34" spans="1:25" x14ac:dyDescent="0.25">
      <c r="A34" s="1" t="s">
        <v>427</v>
      </c>
      <c r="B34" s="1" t="s">
        <v>426</v>
      </c>
      <c r="C34" s="1" t="s">
        <v>459</v>
      </c>
      <c r="D34" s="1" t="s">
        <v>133</v>
      </c>
      <c r="E34" s="1" t="s">
        <v>433</v>
      </c>
      <c r="H34" s="8" t="s">
        <v>428</v>
      </c>
      <c r="I34" s="1" t="s">
        <v>429</v>
      </c>
      <c r="L34" s="1" t="s">
        <v>430</v>
      </c>
      <c r="Q34" s="1" t="s">
        <v>53</v>
      </c>
      <c r="S34" s="7" t="s">
        <v>448</v>
      </c>
      <c r="U34" s="1" t="s">
        <v>393</v>
      </c>
    </row>
  </sheetData>
  <pageMargins left="0.511811024" right="0.511811024" top="0.78740157499999996" bottom="0.78740157499999996" header="0.31496062000000002" footer="0.31496062000000002"/>
  <pageSetup paperSize="9" scale="91" fitToWidth="0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00913-A189-4A58-AC23-2B021F2B7A68}">
  <sheetPr codeName="Planilha4">
    <tabColor theme="4" tint="0.59999389629810485"/>
    <pageSetUpPr fitToPage="1"/>
  </sheetPr>
  <dimension ref="A1:AC35"/>
  <sheetViews>
    <sheetView topLeftCell="A11" workbookViewId="0">
      <selection activeCell="C2" sqref="C2:C35"/>
    </sheetView>
  </sheetViews>
  <sheetFormatPr defaultRowHeight="15" x14ac:dyDescent="0.25"/>
  <cols>
    <col min="1" max="1" width="9.140625" style="1"/>
    <col min="2" max="2" width="17.28515625" style="1" bestFit="1" customWidth="1"/>
    <col min="3" max="3" width="14" style="1" bestFit="1" customWidth="1"/>
    <col min="4" max="4" width="9.140625" style="1"/>
    <col min="5" max="5" width="53.7109375" style="1" bestFit="1" customWidth="1"/>
    <col min="6" max="6" width="9.140625" style="1"/>
    <col min="7" max="7" width="15.28515625" style="1" customWidth="1"/>
    <col min="8" max="8" width="19" style="1" bestFit="1" customWidth="1"/>
    <col min="9" max="9" width="63.85546875" style="1" bestFit="1" customWidth="1"/>
    <col min="10" max="10" width="21" style="1" bestFit="1" customWidth="1"/>
    <col min="11" max="11" width="14.42578125" style="1" customWidth="1"/>
    <col min="12" max="12" width="13.28515625" style="1" customWidth="1"/>
    <col min="13" max="13" width="11.5703125" style="1" customWidth="1"/>
    <col min="14" max="14" width="20.85546875" style="1" customWidth="1"/>
    <col min="15" max="15" width="15.5703125" style="1" customWidth="1"/>
    <col min="16" max="16" width="18.140625" style="1" customWidth="1"/>
    <col min="17" max="17" width="16.42578125" style="1" customWidth="1"/>
    <col min="18" max="18" width="14.42578125" style="1" customWidth="1"/>
    <col min="19" max="19" width="25.140625" style="1" customWidth="1"/>
    <col min="20" max="20" width="18" style="1" customWidth="1"/>
    <col min="21" max="21" width="13.5703125" style="1" customWidth="1"/>
    <col min="22" max="22" width="13.42578125" style="1" customWidth="1"/>
    <col min="23" max="23" width="16" style="1" customWidth="1"/>
    <col min="24" max="24" width="37.5703125" style="1" bestFit="1" customWidth="1"/>
    <col min="25" max="25" width="21.28515625" style="1" customWidth="1"/>
    <col min="26" max="16384" width="9.140625" style="1"/>
  </cols>
  <sheetData>
    <row r="1" spans="1:29" ht="63.75" x14ac:dyDescent="0.25">
      <c r="A1" s="2" t="s">
        <v>23</v>
      </c>
      <c r="B1" s="3" t="s">
        <v>24</v>
      </c>
      <c r="C1" s="3" t="s">
        <v>25</v>
      </c>
      <c r="D1" s="3" t="s">
        <v>26</v>
      </c>
      <c r="E1" s="4" t="s">
        <v>27</v>
      </c>
      <c r="F1" s="3" t="s">
        <v>28</v>
      </c>
      <c r="G1" s="3" t="s">
        <v>29</v>
      </c>
      <c r="H1" s="3" t="s">
        <v>30</v>
      </c>
      <c r="I1" s="5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3" t="s">
        <v>36</v>
      </c>
      <c r="O1" s="3" t="s">
        <v>37</v>
      </c>
      <c r="P1" s="3" t="s">
        <v>38</v>
      </c>
      <c r="Q1" s="3" t="s">
        <v>39</v>
      </c>
      <c r="R1" s="3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6" t="s">
        <v>48</v>
      </c>
      <c r="AA1" s="6" t="s">
        <v>49</v>
      </c>
      <c r="AB1" s="6" t="s">
        <v>50</v>
      </c>
      <c r="AC1" s="6" t="s">
        <v>51</v>
      </c>
    </row>
    <row r="2" spans="1:29" x14ac:dyDescent="0.25">
      <c r="A2" s="1" t="s">
        <v>79</v>
      </c>
      <c r="B2" s="1" t="s">
        <v>210</v>
      </c>
      <c r="C2" s="1" t="s">
        <v>458</v>
      </c>
      <c r="D2" s="1" t="s">
        <v>133</v>
      </c>
      <c r="E2" s="1" t="s">
        <v>204</v>
      </c>
      <c r="H2" s="8" t="s">
        <v>0</v>
      </c>
      <c r="I2" s="1" t="s">
        <v>75</v>
      </c>
      <c r="Q2" s="1" t="s">
        <v>53</v>
      </c>
      <c r="S2" s="7" t="s">
        <v>448</v>
      </c>
      <c r="U2" s="1" t="s">
        <v>393</v>
      </c>
    </row>
    <row r="3" spans="1:29" x14ac:dyDescent="0.25">
      <c r="A3" s="1" t="s">
        <v>79</v>
      </c>
      <c r="B3" s="1" t="s">
        <v>212</v>
      </c>
      <c r="C3" s="1" t="s">
        <v>458</v>
      </c>
      <c r="D3" s="1" t="s">
        <v>133</v>
      </c>
      <c r="E3" s="1" t="s">
        <v>204</v>
      </c>
      <c r="H3" s="8" t="s">
        <v>0</v>
      </c>
      <c r="I3" s="1" t="s">
        <v>75</v>
      </c>
      <c r="Q3" s="1" t="s">
        <v>53</v>
      </c>
      <c r="S3" s="7" t="s">
        <v>448</v>
      </c>
      <c r="U3" s="1" t="s">
        <v>393</v>
      </c>
    </row>
    <row r="4" spans="1:29" x14ac:dyDescent="0.25">
      <c r="A4" s="1" t="s">
        <v>84</v>
      </c>
      <c r="B4" s="1" t="s">
        <v>213</v>
      </c>
      <c r="C4" s="1" t="s">
        <v>458</v>
      </c>
      <c r="D4" s="1" t="s">
        <v>133</v>
      </c>
      <c r="E4" s="1" t="s">
        <v>80</v>
      </c>
      <c r="H4" s="8" t="s">
        <v>8</v>
      </c>
      <c r="I4" s="1" t="s">
        <v>81</v>
      </c>
      <c r="M4" s="1" t="s">
        <v>422</v>
      </c>
      <c r="N4" s="1" t="s">
        <v>414</v>
      </c>
      <c r="Q4" s="1" t="s">
        <v>53</v>
      </c>
      <c r="S4" s="7" t="s">
        <v>448</v>
      </c>
      <c r="U4" s="1" t="s">
        <v>394</v>
      </c>
      <c r="X4" s="1" t="s">
        <v>452</v>
      </c>
      <c r="Y4" s="1" t="s">
        <v>53</v>
      </c>
    </row>
    <row r="5" spans="1:29" x14ac:dyDescent="0.25">
      <c r="A5" s="1" t="s">
        <v>90</v>
      </c>
      <c r="B5" s="1" t="s">
        <v>214</v>
      </c>
      <c r="C5" s="1" t="s">
        <v>458</v>
      </c>
      <c r="D5" s="1" t="s">
        <v>133</v>
      </c>
      <c r="E5" s="1" t="s">
        <v>205</v>
      </c>
      <c r="H5" s="8" t="s">
        <v>86</v>
      </c>
      <c r="I5" s="1" t="s">
        <v>85</v>
      </c>
      <c r="J5" s="1" t="s">
        <v>203</v>
      </c>
      <c r="N5" s="1" t="s">
        <v>415</v>
      </c>
      <c r="Q5" s="1" t="s">
        <v>53</v>
      </c>
      <c r="S5" s="7" t="s">
        <v>448</v>
      </c>
      <c r="U5" s="1" t="s">
        <v>394</v>
      </c>
      <c r="X5" s="1" t="s">
        <v>452</v>
      </c>
      <c r="Y5" s="1" t="s">
        <v>53</v>
      </c>
    </row>
    <row r="6" spans="1:29" x14ac:dyDescent="0.25">
      <c r="A6" s="1" t="s">
        <v>1</v>
      </c>
      <c r="B6" s="1" t="s">
        <v>211</v>
      </c>
      <c r="C6" s="1" t="s">
        <v>458</v>
      </c>
      <c r="D6" s="1" t="s">
        <v>133</v>
      </c>
      <c r="E6" s="1" t="s">
        <v>206</v>
      </c>
      <c r="H6" s="8" t="s">
        <v>0</v>
      </c>
      <c r="I6" s="1" t="s">
        <v>91</v>
      </c>
      <c r="Q6" s="1" t="s">
        <v>53</v>
      </c>
      <c r="S6" s="7" t="s">
        <v>448</v>
      </c>
      <c r="U6" s="1" t="s">
        <v>393</v>
      </c>
    </row>
    <row r="7" spans="1:29" x14ac:dyDescent="0.25">
      <c r="A7" s="1" t="s">
        <v>1</v>
      </c>
      <c r="B7" s="1" t="s">
        <v>215</v>
      </c>
      <c r="C7" s="1" t="s">
        <v>458</v>
      </c>
      <c r="D7" s="1" t="s">
        <v>133</v>
      </c>
      <c r="E7" s="1" t="s">
        <v>206</v>
      </c>
      <c r="H7" s="8" t="s">
        <v>0</v>
      </c>
      <c r="I7" s="1" t="s">
        <v>91</v>
      </c>
      <c r="Q7" s="1" t="s">
        <v>53</v>
      </c>
      <c r="S7" s="7" t="s">
        <v>448</v>
      </c>
      <c r="U7" s="1" t="s">
        <v>393</v>
      </c>
    </row>
    <row r="8" spans="1:29" x14ac:dyDescent="0.25">
      <c r="A8" s="1" t="s">
        <v>1</v>
      </c>
      <c r="B8" s="1" t="s">
        <v>216</v>
      </c>
      <c r="C8" s="1" t="s">
        <v>458</v>
      </c>
      <c r="D8" s="1" t="s">
        <v>133</v>
      </c>
      <c r="E8" s="1" t="s">
        <v>206</v>
      </c>
      <c r="H8" s="8" t="s">
        <v>0</v>
      </c>
      <c r="I8" s="1" t="s">
        <v>91</v>
      </c>
      <c r="Q8" s="1" t="s">
        <v>53</v>
      </c>
      <c r="S8" s="7" t="s">
        <v>448</v>
      </c>
      <c r="U8" s="1" t="s">
        <v>393</v>
      </c>
    </row>
    <row r="9" spans="1:29" x14ac:dyDescent="0.25">
      <c r="A9" s="1" t="s">
        <v>1</v>
      </c>
      <c r="B9" s="1" t="s">
        <v>217</v>
      </c>
      <c r="C9" s="1" t="s">
        <v>458</v>
      </c>
      <c r="D9" s="1" t="s">
        <v>133</v>
      </c>
      <c r="E9" s="1" t="s">
        <v>106</v>
      </c>
      <c r="H9" s="8" t="s">
        <v>0</v>
      </c>
      <c r="I9" s="1" t="s">
        <v>107</v>
      </c>
      <c r="Q9" s="1" t="s">
        <v>53</v>
      </c>
      <c r="S9" s="7" t="s">
        <v>448</v>
      </c>
      <c r="U9" s="1" t="s">
        <v>393</v>
      </c>
    </row>
    <row r="10" spans="1:29" x14ac:dyDescent="0.25">
      <c r="A10" s="1" t="s">
        <v>1</v>
      </c>
      <c r="B10" s="1" t="s">
        <v>218</v>
      </c>
      <c r="C10" s="1" t="s">
        <v>458</v>
      </c>
      <c r="D10" s="1" t="s">
        <v>133</v>
      </c>
      <c r="E10" s="1" t="s">
        <v>106</v>
      </c>
      <c r="H10" s="8" t="s">
        <v>0</v>
      </c>
      <c r="I10" s="1" t="s">
        <v>107</v>
      </c>
      <c r="Q10" s="1" t="s">
        <v>53</v>
      </c>
      <c r="S10" s="7" t="s">
        <v>448</v>
      </c>
      <c r="U10" s="1" t="s">
        <v>393</v>
      </c>
    </row>
    <row r="11" spans="1:29" x14ac:dyDescent="0.25">
      <c r="A11" s="1" t="s">
        <v>1</v>
      </c>
      <c r="B11" s="1" t="s">
        <v>219</v>
      </c>
      <c r="C11" s="1" t="s">
        <v>458</v>
      </c>
      <c r="D11" s="1" t="s">
        <v>133</v>
      </c>
      <c r="E11" s="1" t="s">
        <v>108</v>
      </c>
      <c r="H11" s="8" t="s">
        <v>0</v>
      </c>
      <c r="I11" s="1" t="s">
        <v>107</v>
      </c>
      <c r="Q11" s="1" t="s">
        <v>53</v>
      </c>
      <c r="S11" s="7" t="s">
        <v>448</v>
      </c>
      <c r="U11" s="1" t="s">
        <v>393</v>
      </c>
    </row>
    <row r="12" spans="1:29" x14ac:dyDescent="0.25">
      <c r="A12" s="1" t="s">
        <v>1</v>
      </c>
      <c r="B12" s="1" t="s">
        <v>220</v>
      </c>
      <c r="C12" s="1" t="s">
        <v>458</v>
      </c>
      <c r="D12" s="1" t="s">
        <v>133</v>
      </c>
      <c r="E12" s="1" t="s">
        <v>108</v>
      </c>
      <c r="H12" s="8" t="s">
        <v>0</v>
      </c>
      <c r="I12" s="1" t="s">
        <v>107</v>
      </c>
      <c r="Q12" s="1" t="s">
        <v>53</v>
      </c>
      <c r="S12" s="7" t="s">
        <v>448</v>
      </c>
      <c r="U12" s="1" t="s">
        <v>393</v>
      </c>
    </row>
    <row r="13" spans="1:29" x14ac:dyDescent="0.25">
      <c r="A13" s="1" t="s">
        <v>1</v>
      </c>
      <c r="B13" s="1" t="s">
        <v>221</v>
      </c>
      <c r="C13" s="1" t="s">
        <v>458</v>
      </c>
      <c r="D13" s="1" t="s">
        <v>133</v>
      </c>
      <c r="E13" s="1" t="s">
        <v>110</v>
      </c>
      <c r="H13" s="8" t="s">
        <v>0</v>
      </c>
      <c r="I13" s="1" t="s">
        <v>111</v>
      </c>
      <c r="Q13" s="1" t="s">
        <v>53</v>
      </c>
      <c r="S13" s="7" t="s">
        <v>448</v>
      </c>
      <c r="U13" s="1" t="s">
        <v>393</v>
      </c>
    </row>
    <row r="14" spans="1:29" x14ac:dyDescent="0.25">
      <c r="A14" s="1" t="s">
        <v>1</v>
      </c>
      <c r="B14" s="1" t="s">
        <v>222</v>
      </c>
      <c r="C14" s="1" t="s">
        <v>458</v>
      </c>
      <c r="D14" s="1" t="s">
        <v>133</v>
      </c>
      <c r="E14" s="1" t="s">
        <v>110</v>
      </c>
      <c r="H14" s="8" t="s">
        <v>0</v>
      </c>
      <c r="I14" s="1" t="s">
        <v>111</v>
      </c>
      <c r="Q14" s="1" t="s">
        <v>53</v>
      </c>
      <c r="S14" s="7" t="s">
        <v>448</v>
      </c>
      <c r="U14" s="1" t="s">
        <v>393</v>
      </c>
    </row>
    <row r="15" spans="1:29" x14ac:dyDescent="0.25">
      <c r="A15" s="1" t="s">
        <v>1</v>
      </c>
      <c r="B15" s="1" t="s">
        <v>223</v>
      </c>
      <c r="C15" s="1" t="s">
        <v>458</v>
      </c>
      <c r="D15" s="1" t="s">
        <v>133</v>
      </c>
      <c r="E15" s="1" t="s">
        <v>207</v>
      </c>
      <c r="H15" s="8" t="s">
        <v>0</v>
      </c>
      <c r="I15" s="1" t="s">
        <v>107</v>
      </c>
      <c r="Q15" s="1" t="s">
        <v>53</v>
      </c>
      <c r="S15" s="7" t="s">
        <v>448</v>
      </c>
      <c r="U15" s="1" t="s">
        <v>393</v>
      </c>
    </row>
    <row r="16" spans="1:29" x14ac:dyDescent="0.25">
      <c r="A16" s="1" t="s">
        <v>1</v>
      </c>
      <c r="B16" s="1" t="s">
        <v>224</v>
      </c>
      <c r="C16" s="1" t="s">
        <v>458</v>
      </c>
      <c r="D16" s="1" t="s">
        <v>133</v>
      </c>
      <c r="E16" s="1" t="s">
        <v>110</v>
      </c>
      <c r="H16" s="8" t="s">
        <v>0</v>
      </c>
      <c r="I16" s="1" t="s">
        <v>111</v>
      </c>
      <c r="Q16" s="1" t="s">
        <v>53</v>
      </c>
      <c r="S16" s="7" t="s">
        <v>448</v>
      </c>
      <c r="U16" s="1" t="s">
        <v>393</v>
      </c>
    </row>
    <row r="17" spans="1:25" x14ac:dyDescent="0.25">
      <c r="A17" s="1" t="s">
        <v>1</v>
      </c>
      <c r="B17" s="1" t="s">
        <v>225</v>
      </c>
      <c r="C17" s="1" t="s">
        <v>458</v>
      </c>
      <c r="D17" s="1" t="s">
        <v>133</v>
      </c>
      <c r="E17" s="1" t="s">
        <v>110</v>
      </c>
      <c r="H17" s="8" t="s">
        <v>0</v>
      </c>
      <c r="I17" s="1" t="s">
        <v>111</v>
      </c>
      <c r="Q17" s="1" t="s">
        <v>53</v>
      </c>
      <c r="S17" s="7" t="s">
        <v>448</v>
      </c>
      <c r="U17" s="1" t="s">
        <v>393</v>
      </c>
    </row>
    <row r="18" spans="1:25" x14ac:dyDescent="0.25">
      <c r="A18" s="1" t="s">
        <v>1</v>
      </c>
      <c r="B18" s="1" t="s">
        <v>226</v>
      </c>
      <c r="C18" s="1" t="s">
        <v>458</v>
      </c>
      <c r="D18" s="1" t="s">
        <v>133</v>
      </c>
      <c r="E18" s="1" t="s">
        <v>208</v>
      </c>
      <c r="H18" s="8" t="s">
        <v>0</v>
      </c>
      <c r="I18" s="1" t="s">
        <v>107</v>
      </c>
      <c r="Q18" s="1" t="s">
        <v>53</v>
      </c>
      <c r="S18" s="7" t="s">
        <v>448</v>
      </c>
      <c r="U18" s="1" t="s">
        <v>393</v>
      </c>
    </row>
    <row r="19" spans="1:25" x14ac:dyDescent="0.25">
      <c r="A19" s="1" t="s">
        <v>1</v>
      </c>
      <c r="B19" s="1" t="s">
        <v>227</v>
      </c>
      <c r="C19" s="1" t="s">
        <v>458</v>
      </c>
      <c r="D19" s="1" t="s">
        <v>133</v>
      </c>
      <c r="E19" s="1" t="s">
        <v>209</v>
      </c>
      <c r="H19" s="8" t="s">
        <v>0</v>
      </c>
      <c r="I19" s="1" t="s">
        <v>111</v>
      </c>
      <c r="Q19" s="1" t="s">
        <v>53</v>
      </c>
      <c r="S19" s="7" t="s">
        <v>448</v>
      </c>
      <c r="U19" s="1" t="s">
        <v>393</v>
      </c>
    </row>
    <row r="20" spans="1:25" x14ac:dyDescent="0.25">
      <c r="A20" s="1" t="s">
        <v>1</v>
      </c>
      <c r="B20" s="1" t="s">
        <v>228</v>
      </c>
      <c r="C20" s="1" t="s">
        <v>458</v>
      </c>
      <c r="D20" s="1" t="s">
        <v>133</v>
      </c>
      <c r="E20" s="1" t="s">
        <v>106</v>
      </c>
      <c r="H20" s="8" t="s">
        <v>0</v>
      </c>
      <c r="I20" s="1" t="s">
        <v>107</v>
      </c>
      <c r="Q20" s="1" t="s">
        <v>53</v>
      </c>
      <c r="S20" s="7" t="s">
        <v>448</v>
      </c>
      <c r="U20" s="1" t="s">
        <v>393</v>
      </c>
    </row>
    <row r="21" spans="1:25" x14ac:dyDescent="0.25">
      <c r="A21" s="1" t="s">
        <v>117</v>
      </c>
      <c r="B21" s="1" t="s">
        <v>230</v>
      </c>
      <c r="C21" s="1" t="s">
        <v>458</v>
      </c>
      <c r="D21" s="1" t="s">
        <v>133</v>
      </c>
      <c r="E21" s="1" t="s">
        <v>113</v>
      </c>
      <c r="H21" s="8" t="s">
        <v>115</v>
      </c>
      <c r="I21" s="1" t="s">
        <v>229</v>
      </c>
      <c r="L21" s="1" t="s">
        <v>418</v>
      </c>
      <c r="M21" s="1" t="s">
        <v>417</v>
      </c>
      <c r="N21" s="1" t="s">
        <v>416</v>
      </c>
      <c r="Q21" s="1" t="s">
        <v>53</v>
      </c>
      <c r="S21" s="7" t="s">
        <v>448</v>
      </c>
      <c r="U21" s="1" t="s">
        <v>394</v>
      </c>
      <c r="X21" s="1" t="s">
        <v>452</v>
      </c>
      <c r="Y21" s="1" t="s">
        <v>53</v>
      </c>
    </row>
    <row r="22" spans="1:25" x14ac:dyDescent="0.25">
      <c r="A22" s="1" t="s">
        <v>73</v>
      </c>
      <c r="B22" s="1" t="s">
        <v>231</v>
      </c>
      <c r="C22" s="1" t="s">
        <v>458</v>
      </c>
      <c r="D22" s="1" t="s">
        <v>133</v>
      </c>
      <c r="E22" s="1" t="s">
        <v>158</v>
      </c>
      <c r="H22" s="8" t="s">
        <v>86</v>
      </c>
      <c r="I22" s="1" t="s">
        <v>160</v>
      </c>
      <c r="Q22" s="1" t="s">
        <v>53</v>
      </c>
      <c r="S22" s="7" t="s">
        <v>448</v>
      </c>
      <c r="U22" s="1" t="s">
        <v>393</v>
      </c>
    </row>
    <row r="23" spans="1:25" x14ac:dyDescent="0.25">
      <c r="A23" s="1" t="s">
        <v>165</v>
      </c>
      <c r="B23" s="1" t="s">
        <v>232</v>
      </c>
      <c r="C23" s="1" t="s">
        <v>458</v>
      </c>
      <c r="D23" s="1" t="s">
        <v>133</v>
      </c>
      <c r="E23" s="1" t="s">
        <v>164</v>
      </c>
      <c r="H23" s="8" t="s">
        <v>163</v>
      </c>
      <c r="I23" s="1" t="s">
        <v>162</v>
      </c>
      <c r="Q23" s="1" t="s">
        <v>53</v>
      </c>
      <c r="S23" s="7" t="s">
        <v>448</v>
      </c>
      <c r="U23" s="1" t="s">
        <v>393</v>
      </c>
    </row>
    <row r="24" spans="1:25" x14ac:dyDescent="0.25">
      <c r="A24" s="1" t="s">
        <v>9</v>
      </c>
      <c r="B24" s="1" t="s">
        <v>233</v>
      </c>
      <c r="C24" s="1" t="s">
        <v>458</v>
      </c>
      <c r="D24" s="1" t="s">
        <v>133</v>
      </c>
      <c r="E24" s="1" t="s">
        <v>164</v>
      </c>
      <c r="H24" s="8" t="s">
        <v>163</v>
      </c>
      <c r="I24" s="1" t="s">
        <v>162</v>
      </c>
      <c r="Q24" s="1" t="s">
        <v>53</v>
      </c>
      <c r="S24" s="7" t="s">
        <v>448</v>
      </c>
      <c r="U24" s="1" t="s">
        <v>393</v>
      </c>
    </row>
    <row r="25" spans="1:25" x14ac:dyDescent="0.25">
      <c r="A25" s="1" t="s">
        <v>166</v>
      </c>
      <c r="B25" s="1" t="s">
        <v>234</v>
      </c>
      <c r="C25" s="1" t="s">
        <v>458</v>
      </c>
      <c r="D25" s="1" t="s">
        <v>133</v>
      </c>
      <c r="E25" s="1" t="s">
        <v>164</v>
      </c>
      <c r="H25" s="8" t="s">
        <v>163</v>
      </c>
      <c r="I25" s="1" t="s">
        <v>162</v>
      </c>
      <c r="Q25" s="1" t="s">
        <v>53</v>
      </c>
      <c r="S25" s="7" t="s">
        <v>448</v>
      </c>
      <c r="U25" s="1" t="s">
        <v>393</v>
      </c>
    </row>
    <row r="26" spans="1:25" x14ac:dyDescent="0.25">
      <c r="A26" s="1" t="s">
        <v>13</v>
      </c>
      <c r="B26" s="1" t="s">
        <v>236</v>
      </c>
      <c r="C26" s="1" t="s">
        <v>458</v>
      </c>
      <c r="D26" s="1" t="s">
        <v>133</v>
      </c>
      <c r="E26" s="1" t="s">
        <v>235</v>
      </c>
      <c r="H26" s="8" t="s">
        <v>0</v>
      </c>
      <c r="I26" s="1" t="s">
        <v>119</v>
      </c>
      <c r="Q26" s="1" t="s">
        <v>53</v>
      </c>
      <c r="S26" s="7" t="s">
        <v>448</v>
      </c>
      <c r="U26" s="1" t="s">
        <v>393</v>
      </c>
    </row>
    <row r="27" spans="1:25" x14ac:dyDescent="0.25">
      <c r="A27" s="1" t="s">
        <v>13</v>
      </c>
      <c r="B27" s="1" t="s">
        <v>237</v>
      </c>
      <c r="C27" s="1" t="s">
        <v>458</v>
      </c>
      <c r="D27" s="1" t="s">
        <v>133</v>
      </c>
      <c r="E27" s="1" t="s">
        <v>235</v>
      </c>
      <c r="H27" s="8" t="s">
        <v>0</v>
      </c>
      <c r="I27" s="1" t="s">
        <v>119</v>
      </c>
      <c r="Q27" s="1" t="s">
        <v>53</v>
      </c>
      <c r="S27" s="7" t="s">
        <v>448</v>
      </c>
      <c r="U27" s="1" t="s">
        <v>393</v>
      </c>
    </row>
    <row r="28" spans="1:25" x14ac:dyDescent="0.25">
      <c r="A28" s="1" t="s">
        <v>15</v>
      </c>
      <c r="B28" s="1" t="s">
        <v>242</v>
      </c>
      <c r="C28" s="1" t="s">
        <v>458</v>
      </c>
      <c r="D28" s="1" t="s">
        <v>133</v>
      </c>
      <c r="E28" s="1" t="s">
        <v>244</v>
      </c>
      <c r="H28" s="1" t="s">
        <v>125</v>
      </c>
      <c r="I28" s="1" t="s">
        <v>238</v>
      </c>
      <c r="J28" s="1" t="s">
        <v>240</v>
      </c>
      <c r="Q28" s="1" t="s">
        <v>53</v>
      </c>
      <c r="S28" s="7" t="s">
        <v>448</v>
      </c>
      <c r="U28" s="1" t="s">
        <v>393</v>
      </c>
    </row>
    <row r="29" spans="1:25" x14ac:dyDescent="0.25">
      <c r="A29" s="1" t="s">
        <v>15</v>
      </c>
      <c r="B29" s="1" t="s">
        <v>243</v>
      </c>
      <c r="C29" s="1" t="s">
        <v>458</v>
      </c>
      <c r="D29" s="1" t="s">
        <v>133</v>
      </c>
      <c r="E29" s="1" t="s">
        <v>244</v>
      </c>
      <c r="H29" s="1" t="s">
        <v>125</v>
      </c>
      <c r="I29" s="1" t="s">
        <v>238</v>
      </c>
      <c r="J29" s="1" t="s">
        <v>241</v>
      </c>
      <c r="Q29" s="1" t="s">
        <v>53</v>
      </c>
      <c r="S29" s="7" t="s">
        <v>448</v>
      </c>
      <c r="U29" s="1" t="s">
        <v>393</v>
      </c>
    </row>
    <row r="30" spans="1:25" x14ac:dyDescent="0.25">
      <c r="A30" s="1" t="s">
        <v>15</v>
      </c>
      <c r="B30" s="1" t="s">
        <v>242</v>
      </c>
      <c r="C30" s="1" t="s">
        <v>458</v>
      </c>
      <c r="D30" s="1" t="s">
        <v>133</v>
      </c>
      <c r="E30" s="1" t="s">
        <v>177</v>
      </c>
      <c r="H30" s="1" t="s">
        <v>125</v>
      </c>
      <c r="I30" s="1" t="s">
        <v>239</v>
      </c>
      <c r="Q30" s="1" t="s">
        <v>53</v>
      </c>
      <c r="S30" s="7" t="s">
        <v>448</v>
      </c>
      <c r="U30" s="1" t="s">
        <v>393</v>
      </c>
    </row>
    <row r="31" spans="1:25" x14ac:dyDescent="0.25">
      <c r="A31" s="1" t="s">
        <v>15</v>
      </c>
      <c r="B31" s="1" t="s">
        <v>243</v>
      </c>
      <c r="C31" s="1" t="s">
        <v>458</v>
      </c>
      <c r="D31" s="1" t="s">
        <v>133</v>
      </c>
      <c r="E31" s="1" t="s">
        <v>177</v>
      </c>
      <c r="H31" s="1" t="s">
        <v>125</v>
      </c>
      <c r="I31" s="1" t="s">
        <v>239</v>
      </c>
      <c r="Q31" s="1" t="s">
        <v>53</v>
      </c>
      <c r="S31" s="7" t="s">
        <v>448</v>
      </c>
      <c r="U31" s="1" t="s">
        <v>393</v>
      </c>
    </row>
    <row r="32" spans="1:25" x14ac:dyDescent="0.25">
      <c r="A32" s="1" t="s">
        <v>66</v>
      </c>
      <c r="B32" s="1" t="s">
        <v>245</v>
      </c>
      <c r="C32" s="1" t="s">
        <v>458</v>
      </c>
      <c r="D32" s="1" t="s">
        <v>133</v>
      </c>
      <c r="E32" s="8" t="s">
        <v>129</v>
      </c>
      <c r="F32" s="8"/>
      <c r="G32" s="8"/>
      <c r="H32" s="8" t="s">
        <v>0</v>
      </c>
      <c r="I32" s="8" t="s">
        <v>132</v>
      </c>
      <c r="L32" s="1" t="s">
        <v>421</v>
      </c>
      <c r="M32" s="1">
        <v>1</v>
      </c>
      <c r="N32" s="24" t="s">
        <v>420</v>
      </c>
      <c r="O32" s="24" t="s">
        <v>419</v>
      </c>
      <c r="Q32" s="1" t="s">
        <v>53</v>
      </c>
      <c r="S32" s="7" t="s">
        <v>448</v>
      </c>
      <c r="U32" s="8" t="s">
        <v>394</v>
      </c>
      <c r="X32" s="27" t="s">
        <v>453</v>
      </c>
      <c r="Y32" s="1" t="s">
        <v>53</v>
      </c>
    </row>
    <row r="33" spans="1:25" x14ac:dyDescent="0.25">
      <c r="A33" s="1" t="s">
        <v>66</v>
      </c>
      <c r="B33" s="1" t="s">
        <v>246</v>
      </c>
      <c r="C33" s="1" t="s">
        <v>458</v>
      </c>
      <c r="D33" s="1" t="s">
        <v>133</v>
      </c>
      <c r="E33" s="8" t="s">
        <v>129</v>
      </c>
      <c r="F33" s="8"/>
      <c r="G33" s="8"/>
      <c r="H33" s="8" t="s">
        <v>0</v>
      </c>
      <c r="I33" s="8" t="s">
        <v>132</v>
      </c>
      <c r="L33" s="1" t="s">
        <v>421</v>
      </c>
      <c r="M33" s="1">
        <v>1</v>
      </c>
      <c r="N33" s="24" t="s">
        <v>420</v>
      </c>
      <c r="O33" s="24" t="s">
        <v>419</v>
      </c>
      <c r="Q33" s="1" t="s">
        <v>53</v>
      </c>
      <c r="S33" s="7" t="s">
        <v>448</v>
      </c>
      <c r="U33" s="8" t="s">
        <v>394</v>
      </c>
      <c r="X33" s="27" t="s">
        <v>453</v>
      </c>
      <c r="Y33" s="1" t="s">
        <v>53</v>
      </c>
    </row>
    <row r="34" spans="1:25" x14ac:dyDescent="0.25">
      <c r="A34" s="1" t="s">
        <v>13</v>
      </c>
      <c r="B34" s="1" t="s">
        <v>247</v>
      </c>
      <c r="C34" s="1" t="s">
        <v>458</v>
      </c>
      <c r="D34" s="1" t="s">
        <v>133</v>
      </c>
      <c r="E34" s="1" t="s">
        <v>235</v>
      </c>
      <c r="H34" s="8" t="s">
        <v>0</v>
      </c>
      <c r="I34" s="1" t="s">
        <v>119</v>
      </c>
      <c r="Q34" s="1" t="s">
        <v>53</v>
      </c>
      <c r="S34" s="7" t="s">
        <v>448</v>
      </c>
      <c r="U34" s="1" t="s">
        <v>393</v>
      </c>
    </row>
    <row r="35" spans="1:25" x14ac:dyDescent="0.25">
      <c r="A35" s="1" t="s">
        <v>427</v>
      </c>
      <c r="B35" s="1" t="s">
        <v>431</v>
      </c>
      <c r="C35" s="1" t="s">
        <v>458</v>
      </c>
      <c r="D35" s="1" t="s">
        <v>133</v>
      </c>
      <c r="E35" s="1" t="s">
        <v>433</v>
      </c>
      <c r="H35" s="1" t="s">
        <v>428</v>
      </c>
      <c r="I35" s="1" t="s">
        <v>432</v>
      </c>
      <c r="L35" s="1" t="s">
        <v>436</v>
      </c>
      <c r="Q35" s="1" t="s">
        <v>53</v>
      </c>
      <c r="S35" s="7" t="s">
        <v>448</v>
      </c>
      <c r="U35" s="1" t="s">
        <v>393</v>
      </c>
    </row>
  </sheetData>
  <pageMargins left="0.511811024" right="0.511811024" top="0.78740157499999996" bottom="0.78740157499999996" header="0.31496062000000002" footer="0.31496062000000002"/>
  <pageSetup paperSize="9" scale="88" fitToWidth="0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8BCB-18C5-44AC-BA3F-9C66D53537E7}">
  <sheetPr codeName="Planilha5">
    <tabColor theme="4" tint="0.59999389629810485"/>
  </sheetPr>
  <dimension ref="A1:AC97"/>
  <sheetViews>
    <sheetView topLeftCell="A71" workbookViewId="0">
      <selection activeCell="C2" sqref="C2:C97"/>
    </sheetView>
  </sheetViews>
  <sheetFormatPr defaultRowHeight="15" x14ac:dyDescent="0.25"/>
  <cols>
    <col min="1" max="1" width="14.28515625" style="1" customWidth="1"/>
    <col min="2" max="2" width="18.85546875" style="1" customWidth="1"/>
    <col min="3" max="3" width="14" style="1" bestFit="1" customWidth="1"/>
    <col min="4" max="4" width="14.140625" style="1" customWidth="1"/>
    <col min="5" max="5" width="58" style="1" bestFit="1" customWidth="1"/>
    <col min="6" max="6" width="12.140625" style="1" customWidth="1"/>
    <col min="7" max="7" width="21.42578125" style="1" customWidth="1"/>
    <col min="8" max="8" width="19" style="1" bestFit="1" customWidth="1"/>
    <col min="9" max="9" width="63.42578125" style="1" bestFit="1" customWidth="1"/>
    <col min="10" max="10" width="24.7109375" style="1" bestFit="1" customWidth="1"/>
    <col min="11" max="11" width="12.140625" style="1" customWidth="1"/>
    <col min="12" max="12" width="12" style="1" customWidth="1"/>
    <col min="13" max="13" width="12.140625" style="1" customWidth="1"/>
    <col min="14" max="14" width="19.7109375" style="1" bestFit="1" customWidth="1"/>
    <col min="15" max="15" width="13.28515625" style="1" customWidth="1"/>
    <col min="16" max="16" width="15.5703125" style="1" customWidth="1"/>
    <col min="17" max="17" width="13.28515625" style="1" customWidth="1"/>
    <col min="18" max="18" width="14.42578125" style="1" customWidth="1"/>
    <col min="19" max="19" width="20.28515625" style="1" customWidth="1"/>
    <col min="20" max="20" width="15.28515625" style="1" customWidth="1"/>
    <col min="21" max="21" width="21.140625" style="1" customWidth="1"/>
    <col min="22" max="22" width="19.7109375" style="1" customWidth="1"/>
    <col min="23" max="23" width="21.28515625" style="1" customWidth="1"/>
    <col min="24" max="24" width="37.5703125" style="1" bestFit="1" customWidth="1"/>
    <col min="25" max="25" width="19.42578125" style="1" customWidth="1"/>
    <col min="26" max="16384" width="9.140625" style="1"/>
  </cols>
  <sheetData>
    <row r="1" spans="1:29" ht="38.25" x14ac:dyDescent="0.25">
      <c r="A1" s="2" t="s">
        <v>23</v>
      </c>
      <c r="B1" s="3" t="s">
        <v>24</v>
      </c>
      <c r="C1" s="3" t="s">
        <v>25</v>
      </c>
      <c r="D1" s="3" t="s">
        <v>26</v>
      </c>
      <c r="E1" s="4" t="s">
        <v>27</v>
      </c>
      <c r="F1" s="3" t="s">
        <v>28</v>
      </c>
      <c r="G1" s="3" t="s">
        <v>29</v>
      </c>
      <c r="H1" s="3" t="s">
        <v>30</v>
      </c>
      <c r="I1" s="5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3" t="s">
        <v>36</v>
      </c>
      <c r="O1" s="3" t="s">
        <v>37</v>
      </c>
      <c r="P1" s="3" t="s">
        <v>38</v>
      </c>
      <c r="Q1" s="3" t="s">
        <v>39</v>
      </c>
      <c r="R1" s="3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6" t="s">
        <v>48</v>
      </c>
      <c r="AA1" s="6" t="s">
        <v>49</v>
      </c>
      <c r="AB1" s="6" t="s">
        <v>50</v>
      </c>
      <c r="AC1" s="6" t="s">
        <v>51</v>
      </c>
    </row>
    <row r="2" spans="1:29" ht="45" x14ac:dyDescent="0.25">
      <c r="A2" s="1" t="s">
        <v>252</v>
      </c>
      <c r="B2" s="1" t="s">
        <v>301</v>
      </c>
      <c r="C2" s="1" t="s">
        <v>458</v>
      </c>
      <c r="D2" s="1" t="s">
        <v>133</v>
      </c>
      <c r="E2" s="1" t="s">
        <v>248</v>
      </c>
      <c r="H2" s="1" t="s">
        <v>57</v>
      </c>
      <c r="I2" s="1" t="s">
        <v>249</v>
      </c>
      <c r="J2" s="13" t="s">
        <v>251</v>
      </c>
      <c r="L2" s="1" t="s">
        <v>425</v>
      </c>
      <c r="M2" s="1" t="s">
        <v>424</v>
      </c>
      <c r="N2" s="1" t="s">
        <v>423</v>
      </c>
      <c r="Q2" s="1" t="s">
        <v>53</v>
      </c>
      <c r="S2" s="7" t="s">
        <v>448</v>
      </c>
      <c r="U2" s="1" t="s">
        <v>394</v>
      </c>
      <c r="X2" s="27" t="s">
        <v>454</v>
      </c>
      <c r="Y2" s="1" t="s">
        <v>53</v>
      </c>
    </row>
    <row r="3" spans="1:29" ht="45" x14ac:dyDescent="0.25">
      <c r="A3" s="1" t="s">
        <v>252</v>
      </c>
      <c r="B3" s="1" t="s">
        <v>298</v>
      </c>
      <c r="C3" s="1" t="s">
        <v>458</v>
      </c>
      <c r="D3" s="1" t="s">
        <v>133</v>
      </c>
      <c r="E3" s="1" t="s">
        <v>248</v>
      </c>
      <c r="H3" s="1" t="s">
        <v>57</v>
      </c>
      <c r="I3" s="1" t="s">
        <v>250</v>
      </c>
      <c r="J3" s="13" t="s">
        <v>251</v>
      </c>
      <c r="L3" s="1" t="s">
        <v>425</v>
      </c>
      <c r="M3" s="1" t="s">
        <v>424</v>
      </c>
      <c r="N3" s="1" t="s">
        <v>423</v>
      </c>
      <c r="Q3" s="1" t="s">
        <v>53</v>
      </c>
      <c r="S3" s="7" t="s">
        <v>448</v>
      </c>
      <c r="U3" s="1" t="s">
        <v>394</v>
      </c>
      <c r="X3" s="27" t="s">
        <v>454</v>
      </c>
      <c r="Y3" s="1" t="s">
        <v>53</v>
      </c>
    </row>
    <row r="4" spans="1:29" ht="45" x14ac:dyDescent="0.25">
      <c r="A4" s="1" t="s">
        <v>252</v>
      </c>
      <c r="B4" s="1" t="s">
        <v>300</v>
      </c>
      <c r="C4" s="1" t="s">
        <v>458</v>
      </c>
      <c r="D4" s="1" t="s">
        <v>133</v>
      </c>
      <c r="E4" s="1" t="s">
        <v>248</v>
      </c>
      <c r="H4" s="1" t="s">
        <v>57</v>
      </c>
      <c r="I4" s="1" t="s">
        <v>249</v>
      </c>
      <c r="J4" s="13" t="s">
        <v>251</v>
      </c>
      <c r="L4" s="1" t="s">
        <v>425</v>
      </c>
      <c r="M4" s="1" t="s">
        <v>424</v>
      </c>
      <c r="N4" s="1" t="s">
        <v>423</v>
      </c>
      <c r="Q4" s="1" t="s">
        <v>53</v>
      </c>
      <c r="S4" s="7" t="s">
        <v>448</v>
      </c>
      <c r="U4" s="1" t="s">
        <v>394</v>
      </c>
      <c r="X4" s="27" t="s">
        <v>454</v>
      </c>
      <c r="Y4" s="1" t="s">
        <v>53</v>
      </c>
    </row>
    <row r="5" spans="1:29" ht="45" x14ac:dyDescent="0.25">
      <c r="A5" s="1" t="s">
        <v>252</v>
      </c>
      <c r="B5" s="1" t="s">
        <v>299</v>
      </c>
      <c r="C5" s="1" t="s">
        <v>458</v>
      </c>
      <c r="D5" s="1" t="s">
        <v>133</v>
      </c>
      <c r="E5" s="1" t="s">
        <v>248</v>
      </c>
      <c r="H5" s="1" t="s">
        <v>57</v>
      </c>
      <c r="I5" s="1" t="s">
        <v>250</v>
      </c>
      <c r="J5" s="13" t="s">
        <v>251</v>
      </c>
      <c r="L5" s="1" t="s">
        <v>425</v>
      </c>
      <c r="M5" s="1" t="s">
        <v>424</v>
      </c>
      <c r="N5" s="1" t="s">
        <v>423</v>
      </c>
      <c r="Q5" s="1" t="s">
        <v>53</v>
      </c>
      <c r="S5" s="7" t="s">
        <v>448</v>
      </c>
      <c r="U5" s="1" t="s">
        <v>394</v>
      </c>
      <c r="X5" s="27" t="s">
        <v>454</v>
      </c>
      <c r="Y5" s="1" t="s">
        <v>53</v>
      </c>
    </row>
    <row r="6" spans="1:29" x14ac:dyDescent="0.25">
      <c r="A6" s="1" t="s">
        <v>79</v>
      </c>
      <c r="B6" s="1" t="s">
        <v>302</v>
      </c>
      <c r="C6" s="1" t="s">
        <v>458</v>
      </c>
      <c r="D6" s="1" t="s">
        <v>133</v>
      </c>
      <c r="E6" s="1" t="s">
        <v>78</v>
      </c>
      <c r="H6" s="1" t="s">
        <v>0</v>
      </c>
      <c r="I6" s="1" t="s">
        <v>75</v>
      </c>
      <c r="J6" s="8"/>
      <c r="Q6" s="1" t="s">
        <v>53</v>
      </c>
      <c r="S6" s="7" t="s">
        <v>448</v>
      </c>
      <c r="U6" s="1" t="s">
        <v>393</v>
      </c>
    </row>
    <row r="7" spans="1:29" x14ac:dyDescent="0.25">
      <c r="A7" s="1" t="s">
        <v>79</v>
      </c>
      <c r="B7" s="1" t="s">
        <v>305</v>
      </c>
      <c r="C7" s="1" t="s">
        <v>458</v>
      </c>
      <c r="D7" s="1" t="s">
        <v>133</v>
      </c>
      <c r="E7" s="1" t="s">
        <v>78</v>
      </c>
      <c r="H7" s="1" t="s">
        <v>0</v>
      </c>
      <c r="I7" s="1" t="s">
        <v>75</v>
      </c>
      <c r="Q7" s="1" t="s">
        <v>53</v>
      </c>
      <c r="S7" s="7" t="s">
        <v>448</v>
      </c>
      <c r="U7" s="1" t="s">
        <v>393</v>
      </c>
    </row>
    <row r="8" spans="1:29" x14ac:dyDescent="0.25">
      <c r="A8" s="1" t="s">
        <v>79</v>
      </c>
      <c r="B8" s="1" t="s">
        <v>306</v>
      </c>
      <c r="C8" s="1" t="s">
        <v>458</v>
      </c>
      <c r="D8" s="1" t="s">
        <v>133</v>
      </c>
      <c r="E8" s="1" t="s">
        <v>78</v>
      </c>
      <c r="H8" s="1" t="s">
        <v>0</v>
      </c>
      <c r="I8" s="1" t="s">
        <v>75</v>
      </c>
      <c r="Q8" s="1" t="s">
        <v>53</v>
      </c>
      <c r="S8" s="7" t="s">
        <v>448</v>
      </c>
      <c r="U8" s="1" t="s">
        <v>393</v>
      </c>
    </row>
    <row r="9" spans="1:29" x14ac:dyDescent="0.25">
      <c r="A9" s="1" t="s">
        <v>79</v>
      </c>
      <c r="B9" s="1" t="s">
        <v>307</v>
      </c>
      <c r="C9" s="1" t="s">
        <v>458</v>
      </c>
      <c r="D9" s="1" t="s">
        <v>133</v>
      </c>
      <c r="E9" s="1" t="s">
        <v>78</v>
      </c>
      <c r="H9" s="1" t="s">
        <v>0</v>
      </c>
      <c r="I9" s="1" t="s">
        <v>75</v>
      </c>
      <c r="Q9" s="1" t="s">
        <v>53</v>
      </c>
      <c r="S9" s="7" t="s">
        <v>448</v>
      </c>
      <c r="U9" s="1" t="s">
        <v>393</v>
      </c>
    </row>
    <row r="10" spans="1:29" x14ac:dyDescent="0.25">
      <c r="A10" s="1" t="s">
        <v>84</v>
      </c>
      <c r="B10" s="1" t="s">
        <v>303</v>
      </c>
      <c r="C10" s="1" t="s">
        <v>458</v>
      </c>
      <c r="D10" s="1" t="s">
        <v>133</v>
      </c>
      <c r="E10" s="1" t="s">
        <v>80</v>
      </c>
      <c r="H10" s="8" t="s">
        <v>8</v>
      </c>
      <c r="I10" s="1" t="s">
        <v>81</v>
      </c>
      <c r="M10" s="1" t="s">
        <v>422</v>
      </c>
      <c r="N10" s="1" t="s">
        <v>414</v>
      </c>
      <c r="Q10" s="1" t="s">
        <v>53</v>
      </c>
      <c r="S10" s="7" t="s">
        <v>448</v>
      </c>
      <c r="U10" s="1" t="s">
        <v>394</v>
      </c>
      <c r="X10" s="27" t="s">
        <v>452</v>
      </c>
      <c r="Y10" s="1" t="s">
        <v>53</v>
      </c>
    </row>
    <row r="11" spans="1:29" x14ac:dyDescent="0.25">
      <c r="A11" s="1" t="s">
        <v>84</v>
      </c>
      <c r="B11" s="1" t="s">
        <v>308</v>
      </c>
      <c r="C11" s="1" t="s">
        <v>458</v>
      </c>
      <c r="D11" s="1" t="s">
        <v>133</v>
      </c>
      <c r="E11" s="1" t="s">
        <v>80</v>
      </c>
      <c r="H11" s="8" t="s">
        <v>8</v>
      </c>
      <c r="I11" s="1" t="s">
        <v>81</v>
      </c>
      <c r="M11" s="1" t="s">
        <v>422</v>
      </c>
      <c r="N11" s="1" t="s">
        <v>414</v>
      </c>
      <c r="Q11" s="1" t="s">
        <v>53</v>
      </c>
      <c r="S11" s="7" t="s">
        <v>448</v>
      </c>
      <c r="U11" s="1" t="s">
        <v>394</v>
      </c>
      <c r="X11" s="27" t="s">
        <v>452</v>
      </c>
      <c r="Y11" s="1" t="s">
        <v>53</v>
      </c>
    </row>
    <row r="12" spans="1:29" x14ac:dyDescent="0.25">
      <c r="A12" s="1" t="s">
        <v>255</v>
      </c>
      <c r="B12" s="1" t="s">
        <v>310</v>
      </c>
      <c r="C12" s="1" t="s">
        <v>458</v>
      </c>
      <c r="D12" s="1" t="s">
        <v>133</v>
      </c>
      <c r="E12" s="1" t="s">
        <v>256</v>
      </c>
      <c r="H12" s="1" t="s">
        <v>254</v>
      </c>
      <c r="I12" s="1" t="s">
        <v>253</v>
      </c>
      <c r="J12" s="8">
        <v>13327</v>
      </c>
      <c r="Q12" s="1" t="s">
        <v>53</v>
      </c>
      <c r="S12" s="7" t="s">
        <v>448</v>
      </c>
      <c r="U12" s="1" t="s">
        <v>393</v>
      </c>
    </row>
    <row r="13" spans="1:29" x14ac:dyDescent="0.25">
      <c r="A13" s="1" t="s">
        <v>1</v>
      </c>
      <c r="B13" s="1" t="s">
        <v>304</v>
      </c>
      <c r="C13" s="1" t="s">
        <v>458</v>
      </c>
      <c r="D13" s="1" t="s">
        <v>133</v>
      </c>
      <c r="E13" s="1" t="s">
        <v>109</v>
      </c>
      <c r="H13" s="8" t="s">
        <v>0</v>
      </c>
      <c r="I13" s="1" t="s">
        <v>91</v>
      </c>
      <c r="Q13" s="1" t="s">
        <v>53</v>
      </c>
      <c r="S13" s="7" t="s">
        <v>448</v>
      </c>
      <c r="U13" s="1" t="s">
        <v>393</v>
      </c>
    </row>
    <row r="14" spans="1:29" x14ac:dyDescent="0.25">
      <c r="A14" s="1" t="s">
        <v>1</v>
      </c>
      <c r="B14" s="1" t="s">
        <v>315</v>
      </c>
      <c r="C14" s="1" t="s">
        <v>458</v>
      </c>
      <c r="D14" s="1" t="s">
        <v>133</v>
      </c>
      <c r="E14" s="1" t="s">
        <v>109</v>
      </c>
      <c r="H14" s="8" t="s">
        <v>0</v>
      </c>
      <c r="I14" s="1" t="s">
        <v>91</v>
      </c>
      <c r="Q14" s="1" t="s">
        <v>53</v>
      </c>
      <c r="S14" s="7" t="s">
        <v>448</v>
      </c>
      <c r="U14" s="1" t="s">
        <v>393</v>
      </c>
    </row>
    <row r="15" spans="1:29" x14ac:dyDescent="0.25">
      <c r="A15" s="1" t="s">
        <v>1</v>
      </c>
      <c r="B15" s="1" t="s">
        <v>316</v>
      </c>
      <c r="C15" s="1" t="s">
        <v>458</v>
      </c>
      <c r="D15" s="1" t="s">
        <v>133</v>
      </c>
      <c r="E15" s="1" t="s">
        <v>257</v>
      </c>
      <c r="H15" s="8" t="s">
        <v>0</v>
      </c>
      <c r="I15" s="1" t="s">
        <v>91</v>
      </c>
      <c r="Q15" s="1" t="s">
        <v>53</v>
      </c>
      <c r="S15" s="7" t="s">
        <v>448</v>
      </c>
      <c r="U15" s="1" t="s">
        <v>393</v>
      </c>
    </row>
    <row r="16" spans="1:29" x14ac:dyDescent="0.25">
      <c r="A16" s="1" t="s">
        <v>1</v>
      </c>
      <c r="B16" s="1" t="s">
        <v>317</v>
      </c>
      <c r="C16" s="1" t="s">
        <v>458</v>
      </c>
      <c r="D16" s="1" t="s">
        <v>133</v>
      </c>
      <c r="E16" s="1" t="s">
        <v>257</v>
      </c>
      <c r="H16" s="8" t="s">
        <v>0</v>
      </c>
      <c r="I16" s="1" t="s">
        <v>91</v>
      </c>
      <c r="Q16" s="1" t="s">
        <v>53</v>
      </c>
      <c r="S16" s="7" t="s">
        <v>448</v>
      </c>
      <c r="U16" s="1" t="s">
        <v>393</v>
      </c>
    </row>
    <row r="17" spans="1:21" x14ac:dyDescent="0.25">
      <c r="A17" s="1" t="s">
        <v>1</v>
      </c>
      <c r="B17" s="1" t="s">
        <v>311</v>
      </c>
      <c r="C17" s="1" t="s">
        <v>458</v>
      </c>
      <c r="D17" s="1" t="s">
        <v>133</v>
      </c>
      <c r="E17" s="1" t="s">
        <v>106</v>
      </c>
      <c r="H17" s="8" t="s">
        <v>0</v>
      </c>
      <c r="I17" s="1" t="s">
        <v>107</v>
      </c>
      <c r="Q17" s="1" t="s">
        <v>53</v>
      </c>
      <c r="S17" s="7" t="s">
        <v>448</v>
      </c>
      <c r="U17" s="1" t="s">
        <v>393</v>
      </c>
    </row>
    <row r="18" spans="1:21" x14ac:dyDescent="0.25">
      <c r="A18" s="1" t="s">
        <v>1</v>
      </c>
      <c r="B18" s="1" t="s">
        <v>312</v>
      </c>
      <c r="C18" s="1" t="s">
        <v>458</v>
      </c>
      <c r="D18" s="1" t="s">
        <v>133</v>
      </c>
      <c r="E18" s="1" t="s">
        <v>106</v>
      </c>
      <c r="H18" s="8" t="s">
        <v>0</v>
      </c>
      <c r="I18" s="1" t="s">
        <v>107</v>
      </c>
      <c r="Q18" s="1" t="s">
        <v>53</v>
      </c>
      <c r="S18" s="7" t="s">
        <v>448</v>
      </c>
      <c r="U18" s="1" t="s">
        <v>393</v>
      </c>
    </row>
    <row r="19" spans="1:21" x14ac:dyDescent="0.25">
      <c r="A19" s="1" t="s">
        <v>1</v>
      </c>
      <c r="B19" s="1" t="s">
        <v>313</v>
      </c>
      <c r="C19" s="1" t="s">
        <v>458</v>
      </c>
      <c r="D19" s="1" t="s">
        <v>133</v>
      </c>
      <c r="E19" s="1" t="s">
        <v>108</v>
      </c>
      <c r="H19" s="8" t="s">
        <v>0</v>
      </c>
      <c r="I19" s="1" t="s">
        <v>107</v>
      </c>
      <c r="Q19" s="1" t="s">
        <v>53</v>
      </c>
      <c r="S19" s="7" t="s">
        <v>448</v>
      </c>
      <c r="U19" s="1" t="s">
        <v>393</v>
      </c>
    </row>
    <row r="20" spans="1:21" x14ac:dyDescent="0.25">
      <c r="A20" s="1" t="s">
        <v>1</v>
      </c>
      <c r="B20" s="1" t="s">
        <v>314</v>
      </c>
      <c r="C20" s="1" t="s">
        <v>458</v>
      </c>
      <c r="D20" s="1" t="s">
        <v>133</v>
      </c>
      <c r="E20" s="1" t="s">
        <v>108</v>
      </c>
      <c r="H20" s="8" t="s">
        <v>0</v>
      </c>
      <c r="I20" s="1" t="s">
        <v>107</v>
      </c>
      <c r="Q20" s="1" t="s">
        <v>53</v>
      </c>
      <c r="S20" s="7" t="s">
        <v>448</v>
      </c>
      <c r="U20" s="1" t="s">
        <v>393</v>
      </c>
    </row>
    <row r="21" spans="1:21" x14ac:dyDescent="0.25">
      <c r="A21" s="1" t="s">
        <v>1</v>
      </c>
      <c r="B21" s="1" t="s">
        <v>318</v>
      </c>
      <c r="C21" s="1" t="s">
        <v>458</v>
      </c>
      <c r="D21" s="1" t="s">
        <v>133</v>
      </c>
      <c r="E21" s="1" t="s">
        <v>258</v>
      </c>
      <c r="H21" s="8" t="s">
        <v>0</v>
      </c>
      <c r="I21" s="1" t="s">
        <v>91</v>
      </c>
      <c r="Q21" s="1" t="s">
        <v>53</v>
      </c>
      <c r="S21" s="7" t="s">
        <v>448</v>
      </c>
      <c r="U21" s="1" t="s">
        <v>393</v>
      </c>
    </row>
    <row r="22" spans="1:21" x14ac:dyDescent="0.25">
      <c r="A22" s="1" t="s">
        <v>1</v>
      </c>
      <c r="B22" s="1" t="s">
        <v>319</v>
      </c>
      <c r="C22" s="1" t="s">
        <v>458</v>
      </c>
      <c r="D22" s="1" t="s">
        <v>133</v>
      </c>
      <c r="E22" s="1" t="s">
        <v>258</v>
      </c>
      <c r="H22" s="8" t="s">
        <v>0</v>
      </c>
      <c r="I22" s="1" t="s">
        <v>91</v>
      </c>
      <c r="Q22" s="1" t="s">
        <v>53</v>
      </c>
      <c r="S22" s="7" t="s">
        <v>448</v>
      </c>
      <c r="U22" s="1" t="s">
        <v>393</v>
      </c>
    </row>
    <row r="23" spans="1:21" x14ac:dyDescent="0.25">
      <c r="A23" s="1" t="s">
        <v>1</v>
      </c>
      <c r="B23" s="1" t="s">
        <v>320</v>
      </c>
      <c r="C23" s="1" t="s">
        <v>458</v>
      </c>
      <c r="D23" s="1" t="s">
        <v>133</v>
      </c>
      <c r="E23" s="1" t="s">
        <v>106</v>
      </c>
      <c r="H23" s="8" t="s">
        <v>0</v>
      </c>
      <c r="I23" s="1" t="s">
        <v>107</v>
      </c>
      <c r="Q23" s="1" t="s">
        <v>53</v>
      </c>
      <c r="S23" s="7" t="s">
        <v>448</v>
      </c>
      <c r="U23" s="1" t="s">
        <v>393</v>
      </c>
    </row>
    <row r="24" spans="1:21" x14ac:dyDescent="0.25">
      <c r="A24" s="1" t="s">
        <v>1</v>
      </c>
      <c r="B24" s="1" t="s">
        <v>321</v>
      </c>
      <c r="C24" s="1" t="s">
        <v>458</v>
      </c>
      <c r="D24" s="1" t="s">
        <v>261</v>
      </c>
      <c r="E24" s="1" t="s">
        <v>106</v>
      </c>
      <c r="H24" s="8" t="s">
        <v>0</v>
      </c>
      <c r="I24" s="1" t="s">
        <v>107</v>
      </c>
      <c r="Q24" s="1" t="s">
        <v>53</v>
      </c>
      <c r="S24" s="7" t="s">
        <v>448</v>
      </c>
      <c r="U24" s="1" t="s">
        <v>393</v>
      </c>
    </row>
    <row r="25" spans="1:21" x14ac:dyDescent="0.25">
      <c r="A25" s="1" t="s">
        <v>1</v>
      </c>
      <c r="B25" s="1" t="s">
        <v>322</v>
      </c>
      <c r="C25" s="1" t="s">
        <v>458</v>
      </c>
      <c r="D25" s="1" t="s">
        <v>261</v>
      </c>
      <c r="E25" s="1" t="s">
        <v>108</v>
      </c>
      <c r="H25" s="8" t="s">
        <v>0</v>
      </c>
      <c r="I25" s="1" t="s">
        <v>107</v>
      </c>
      <c r="Q25" s="1" t="s">
        <v>53</v>
      </c>
      <c r="S25" s="7" t="s">
        <v>448</v>
      </c>
      <c r="U25" s="1" t="s">
        <v>393</v>
      </c>
    </row>
    <row r="26" spans="1:21" x14ac:dyDescent="0.25">
      <c r="A26" s="1" t="s">
        <v>1</v>
      </c>
      <c r="B26" s="1" t="s">
        <v>323</v>
      </c>
      <c r="C26" s="1" t="s">
        <v>458</v>
      </c>
      <c r="D26" s="1" t="s">
        <v>261</v>
      </c>
      <c r="E26" s="1" t="s">
        <v>108</v>
      </c>
      <c r="H26" s="8" t="s">
        <v>0</v>
      </c>
      <c r="I26" s="1" t="s">
        <v>107</v>
      </c>
      <c r="Q26" s="1" t="s">
        <v>53</v>
      </c>
      <c r="S26" s="7" t="s">
        <v>448</v>
      </c>
      <c r="U26" s="1" t="s">
        <v>393</v>
      </c>
    </row>
    <row r="27" spans="1:21" x14ac:dyDescent="0.25">
      <c r="A27" s="1" t="s">
        <v>1</v>
      </c>
      <c r="B27" s="1" t="s">
        <v>324</v>
      </c>
      <c r="C27" s="1" t="s">
        <v>458</v>
      </c>
      <c r="D27" s="1" t="s">
        <v>261</v>
      </c>
      <c r="E27" s="14" t="s">
        <v>259</v>
      </c>
      <c r="H27" s="8" t="s">
        <v>0</v>
      </c>
      <c r="I27" s="1" t="s">
        <v>260</v>
      </c>
      <c r="Q27" s="1" t="s">
        <v>53</v>
      </c>
      <c r="S27" s="7" t="s">
        <v>448</v>
      </c>
      <c r="U27" s="1" t="s">
        <v>393</v>
      </c>
    </row>
    <row r="28" spans="1:21" x14ac:dyDescent="0.25">
      <c r="A28" s="1" t="s">
        <v>1</v>
      </c>
      <c r="B28" s="1" t="s">
        <v>325</v>
      </c>
      <c r="C28" s="1" t="s">
        <v>458</v>
      </c>
      <c r="D28" s="1" t="s">
        <v>133</v>
      </c>
      <c r="E28" s="1" t="s">
        <v>262</v>
      </c>
      <c r="H28" s="8" t="s">
        <v>0</v>
      </c>
      <c r="I28" s="1" t="s">
        <v>107</v>
      </c>
      <c r="Q28" s="1" t="s">
        <v>53</v>
      </c>
      <c r="S28" s="7" t="s">
        <v>448</v>
      </c>
      <c r="U28" s="1" t="s">
        <v>393</v>
      </c>
    </row>
    <row r="29" spans="1:21" x14ac:dyDescent="0.25">
      <c r="A29" s="1" t="s">
        <v>1</v>
      </c>
      <c r="B29" s="1" t="s">
        <v>326</v>
      </c>
      <c r="C29" s="1" t="s">
        <v>458</v>
      </c>
      <c r="D29" s="1" t="s">
        <v>133</v>
      </c>
      <c r="E29" s="1" t="s">
        <v>110</v>
      </c>
      <c r="H29" s="8" t="s">
        <v>0</v>
      </c>
      <c r="I29" s="1" t="s">
        <v>111</v>
      </c>
      <c r="Q29" s="1" t="s">
        <v>53</v>
      </c>
      <c r="S29" s="7" t="s">
        <v>448</v>
      </c>
      <c r="U29" s="1" t="s">
        <v>393</v>
      </c>
    </row>
    <row r="30" spans="1:21" x14ac:dyDescent="0.25">
      <c r="A30" s="1" t="s">
        <v>1</v>
      </c>
      <c r="B30" s="1" t="s">
        <v>327</v>
      </c>
      <c r="C30" s="1" t="s">
        <v>458</v>
      </c>
      <c r="D30" s="1" t="s">
        <v>133</v>
      </c>
      <c r="E30" s="1" t="s">
        <v>110</v>
      </c>
      <c r="H30" s="8" t="s">
        <v>0</v>
      </c>
      <c r="I30" s="1" t="s">
        <v>111</v>
      </c>
      <c r="Q30" s="1" t="s">
        <v>53</v>
      </c>
      <c r="S30" s="7" t="s">
        <v>448</v>
      </c>
      <c r="U30" s="1" t="s">
        <v>393</v>
      </c>
    </row>
    <row r="31" spans="1:21" x14ac:dyDescent="0.25">
      <c r="A31" s="1" t="s">
        <v>1</v>
      </c>
      <c r="B31" s="1" t="s">
        <v>328</v>
      </c>
      <c r="C31" s="1" t="s">
        <v>458</v>
      </c>
      <c r="D31" s="1" t="s">
        <v>133</v>
      </c>
      <c r="E31" s="1" t="s">
        <v>262</v>
      </c>
      <c r="H31" s="8" t="s">
        <v>0</v>
      </c>
      <c r="I31" s="1" t="s">
        <v>107</v>
      </c>
      <c r="Q31" s="1" t="s">
        <v>53</v>
      </c>
      <c r="S31" s="7" t="s">
        <v>448</v>
      </c>
      <c r="U31" s="1" t="s">
        <v>393</v>
      </c>
    </row>
    <row r="32" spans="1:21" x14ac:dyDescent="0.25">
      <c r="A32" s="1" t="s">
        <v>1</v>
      </c>
      <c r="B32" s="1" t="s">
        <v>309</v>
      </c>
      <c r="C32" s="1" t="s">
        <v>458</v>
      </c>
      <c r="D32" s="1" t="s">
        <v>133</v>
      </c>
      <c r="E32" s="1" t="s">
        <v>109</v>
      </c>
      <c r="H32" s="8" t="s">
        <v>0</v>
      </c>
      <c r="I32" s="1" t="s">
        <v>91</v>
      </c>
      <c r="Q32" s="1" t="s">
        <v>53</v>
      </c>
      <c r="S32" s="7" t="s">
        <v>448</v>
      </c>
      <c r="U32" s="1" t="s">
        <v>393</v>
      </c>
    </row>
    <row r="33" spans="1:25" x14ac:dyDescent="0.25">
      <c r="A33" s="1" t="s">
        <v>1</v>
      </c>
      <c r="B33" s="1" t="s">
        <v>329</v>
      </c>
      <c r="C33" s="1" t="s">
        <v>458</v>
      </c>
      <c r="D33" s="1" t="s">
        <v>133</v>
      </c>
      <c r="E33" s="1" t="s">
        <v>109</v>
      </c>
      <c r="H33" s="8" t="s">
        <v>0</v>
      </c>
      <c r="I33" s="1" t="s">
        <v>91</v>
      </c>
      <c r="Q33" s="1" t="s">
        <v>53</v>
      </c>
      <c r="S33" s="7" t="s">
        <v>448</v>
      </c>
      <c r="U33" s="1" t="s">
        <v>393</v>
      </c>
    </row>
    <row r="34" spans="1:25" x14ac:dyDescent="0.25">
      <c r="A34" s="1" t="s">
        <v>1</v>
      </c>
      <c r="B34" s="1" t="s">
        <v>330</v>
      </c>
      <c r="C34" s="1" t="s">
        <v>458</v>
      </c>
      <c r="D34" s="1" t="s">
        <v>133</v>
      </c>
      <c r="E34" s="1" t="s">
        <v>257</v>
      </c>
      <c r="H34" s="8" t="s">
        <v>0</v>
      </c>
      <c r="I34" s="1" t="s">
        <v>91</v>
      </c>
      <c r="Q34" s="1" t="s">
        <v>53</v>
      </c>
      <c r="S34" s="7" t="s">
        <v>448</v>
      </c>
      <c r="U34" s="1" t="s">
        <v>393</v>
      </c>
    </row>
    <row r="35" spans="1:25" x14ac:dyDescent="0.25">
      <c r="A35" s="1" t="s">
        <v>1</v>
      </c>
      <c r="B35" s="1" t="s">
        <v>331</v>
      </c>
      <c r="C35" s="1" t="s">
        <v>458</v>
      </c>
      <c r="D35" s="1" t="s">
        <v>133</v>
      </c>
      <c r="E35" s="1" t="s">
        <v>257</v>
      </c>
      <c r="H35" s="8" t="s">
        <v>0</v>
      </c>
      <c r="I35" s="1" t="s">
        <v>91</v>
      </c>
      <c r="Q35" s="1" t="s">
        <v>53</v>
      </c>
      <c r="S35" s="7" t="s">
        <v>448</v>
      </c>
      <c r="U35" s="1" t="s">
        <v>393</v>
      </c>
    </row>
    <row r="36" spans="1:25" x14ac:dyDescent="0.25">
      <c r="A36" s="1" t="s">
        <v>1</v>
      </c>
      <c r="B36" s="1" t="s">
        <v>332</v>
      </c>
      <c r="C36" s="1" t="s">
        <v>458</v>
      </c>
      <c r="D36" s="1" t="s">
        <v>133</v>
      </c>
      <c r="E36" s="1" t="s">
        <v>106</v>
      </c>
      <c r="H36" s="8" t="s">
        <v>0</v>
      </c>
      <c r="I36" s="1" t="s">
        <v>107</v>
      </c>
      <c r="Q36" s="1" t="s">
        <v>53</v>
      </c>
      <c r="S36" s="7" t="s">
        <v>448</v>
      </c>
      <c r="U36" s="1" t="s">
        <v>393</v>
      </c>
    </row>
    <row r="37" spans="1:25" x14ac:dyDescent="0.25">
      <c r="A37" s="1" t="s">
        <v>1</v>
      </c>
      <c r="B37" s="1" t="s">
        <v>333</v>
      </c>
      <c r="C37" s="1" t="s">
        <v>458</v>
      </c>
      <c r="D37" s="1" t="s">
        <v>133</v>
      </c>
      <c r="E37" s="1" t="s">
        <v>106</v>
      </c>
      <c r="H37" s="8" t="s">
        <v>0</v>
      </c>
      <c r="I37" s="1" t="s">
        <v>107</v>
      </c>
      <c r="Q37" s="1" t="s">
        <v>53</v>
      </c>
      <c r="S37" s="7" t="s">
        <v>448</v>
      </c>
      <c r="U37" s="1" t="s">
        <v>393</v>
      </c>
    </row>
    <row r="38" spans="1:25" x14ac:dyDescent="0.25">
      <c r="A38" s="1" t="s">
        <v>1</v>
      </c>
      <c r="B38" s="1" t="s">
        <v>334</v>
      </c>
      <c r="C38" s="1" t="s">
        <v>458</v>
      </c>
      <c r="D38" s="1" t="s">
        <v>133</v>
      </c>
      <c r="E38" s="1" t="s">
        <v>108</v>
      </c>
      <c r="H38" s="8" t="s">
        <v>0</v>
      </c>
      <c r="I38" s="1" t="s">
        <v>107</v>
      </c>
      <c r="Q38" s="1" t="s">
        <v>53</v>
      </c>
      <c r="S38" s="7" t="s">
        <v>448</v>
      </c>
      <c r="U38" s="1" t="s">
        <v>393</v>
      </c>
    </row>
    <row r="39" spans="1:25" x14ac:dyDescent="0.25">
      <c r="A39" s="1" t="s">
        <v>1</v>
      </c>
      <c r="B39" s="1" t="s">
        <v>335</v>
      </c>
      <c r="C39" s="1" t="s">
        <v>458</v>
      </c>
      <c r="D39" s="1" t="s">
        <v>133</v>
      </c>
      <c r="E39" s="1" t="s">
        <v>108</v>
      </c>
      <c r="H39" s="8" t="s">
        <v>0</v>
      </c>
      <c r="I39" s="1" t="s">
        <v>107</v>
      </c>
      <c r="Q39" s="1" t="s">
        <v>53</v>
      </c>
      <c r="S39" s="7" t="s">
        <v>448</v>
      </c>
      <c r="U39" s="1" t="s">
        <v>393</v>
      </c>
    </row>
    <row r="40" spans="1:25" x14ac:dyDescent="0.25">
      <c r="A40" s="1" t="s">
        <v>1</v>
      </c>
      <c r="B40" s="1" t="s">
        <v>336</v>
      </c>
      <c r="C40" s="1" t="s">
        <v>458</v>
      </c>
      <c r="D40" s="1" t="s">
        <v>133</v>
      </c>
      <c r="E40" s="1" t="s">
        <v>258</v>
      </c>
      <c r="H40" s="8" t="s">
        <v>0</v>
      </c>
      <c r="I40" s="1" t="s">
        <v>91</v>
      </c>
      <c r="Q40" s="1" t="s">
        <v>53</v>
      </c>
      <c r="S40" s="7" t="s">
        <v>448</v>
      </c>
      <c r="U40" s="1" t="s">
        <v>393</v>
      </c>
    </row>
    <row r="41" spans="1:25" x14ac:dyDescent="0.25">
      <c r="A41" s="1" t="s">
        <v>1</v>
      </c>
      <c r="B41" s="1" t="s">
        <v>337</v>
      </c>
      <c r="C41" s="1" t="s">
        <v>458</v>
      </c>
      <c r="D41" s="1" t="s">
        <v>133</v>
      </c>
      <c r="E41" s="1" t="s">
        <v>258</v>
      </c>
      <c r="H41" s="8" t="s">
        <v>0</v>
      </c>
      <c r="I41" s="1" t="s">
        <v>91</v>
      </c>
      <c r="Q41" s="1" t="s">
        <v>53</v>
      </c>
      <c r="S41" s="7" t="s">
        <v>448</v>
      </c>
      <c r="U41" s="1" t="s">
        <v>393</v>
      </c>
    </row>
    <row r="42" spans="1:25" x14ac:dyDescent="0.25">
      <c r="A42" s="1" t="s">
        <v>1</v>
      </c>
      <c r="B42" s="1" t="s">
        <v>338</v>
      </c>
      <c r="C42" s="1" t="s">
        <v>458</v>
      </c>
      <c r="D42" s="1" t="s">
        <v>133</v>
      </c>
      <c r="E42" s="1" t="s">
        <v>106</v>
      </c>
      <c r="H42" s="8" t="s">
        <v>0</v>
      </c>
      <c r="I42" s="1" t="s">
        <v>107</v>
      </c>
      <c r="Q42" s="1" t="s">
        <v>53</v>
      </c>
      <c r="S42" s="7" t="s">
        <v>448</v>
      </c>
      <c r="U42" s="1" t="s">
        <v>393</v>
      </c>
    </row>
    <row r="43" spans="1:25" x14ac:dyDescent="0.25">
      <c r="A43" s="1" t="s">
        <v>1</v>
      </c>
      <c r="B43" s="1" t="s">
        <v>339</v>
      </c>
      <c r="C43" s="1" t="s">
        <v>458</v>
      </c>
      <c r="D43" s="1" t="s">
        <v>133</v>
      </c>
      <c r="E43" s="1" t="s">
        <v>262</v>
      </c>
      <c r="H43" s="8" t="s">
        <v>0</v>
      </c>
      <c r="I43" s="1" t="s">
        <v>107</v>
      </c>
      <c r="Q43" s="1" t="s">
        <v>53</v>
      </c>
      <c r="S43" s="7" t="s">
        <v>448</v>
      </c>
      <c r="U43" s="1" t="s">
        <v>393</v>
      </c>
    </row>
    <row r="44" spans="1:25" x14ac:dyDescent="0.25">
      <c r="A44" s="1" t="s">
        <v>1</v>
      </c>
      <c r="B44" s="1" t="s">
        <v>340</v>
      </c>
      <c r="C44" s="1" t="s">
        <v>458</v>
      </c>
      <c r="D44" s="1" t="s">
        <v>133</v>
      </c>
      <c r="E44" s="1" t="s">
        <v>110</v>
      </c>
      <c r="H44" s="8" t="s">
        <v>0</v>
      </c>
      <c r="I44" s="1" t="s">
        <v>111</v>
      </c>
      <c r="Q44" s="1" t="s">
        <v>53</v>
      </c>
      <c r="S44" s="7" t="s">
        <v>448</v>
      </c>
      <c r="U44" s="1" t="s">
        <v>393</v>
      </c>
    </row>
    <row r="45" spans="1:25" x14ac:dyDescent="0.25">
      <c r="A45" s="1" t="s">
        <v>1</v>
      </c>
      <c r="B45" s="1" t="s">
        <v>341</v>
      </c>
      <c r="C45" s="1" t="s">
        <v>458</v>
      </c>
      <c r="D45" s="1" t="s">
        <v>133</v>
      </c>
      <c r="E45" s="1" t="s">
        <v>110</v>
      </c>
      <c r="H45" s="8" t="s">
        <v>0</v>
      </c>
      <c r="I45" s="1" t="s">
        <v>111</v>
      </c>
      <c r="Q45" s="1" t="s">
        <v>53</v>
      </c>
      <c r="S45" s="7" t="s">
        <v>448</v>
      </c>
      <c r="U45" s="1" t="s">
        <v>393</v>
      </c>
    </row>
    <row r="46" spans="1:25" x14ac:dyDescent="0.25">
      <c r="A46" s="1" t="s">
        <v>1</v>
      </c>
      <c r="B46" s="1" t="s">
        <v>342</v>
      </c>
      <c r="C46" s="1" t="s">
        <v>458</v>
      </c>
      <c r="D46" s="1" t="s">
        <v>133</v>
      </c>
      <c r="E46" s="1" t="s">
        <v>263</v>
      </c>
      <c r="H46" s="8" t="s">
        <v>0</v>
      </c>
      <c r="I46" s="1" t="s">
        <v>107</v>
      </c>
      <c r="Q46" s="1" t="s">
        <v>53</v>
      </c>
      <c r="S46" s="7" t="s">
        <v>448</v>
      </c>
      <c r="U46" s="1" t="s">
        <v>393</v>
      </c>
    </row>
    <row r="47" spans="1:25" x14ac:dyDescent="0.25">
      <c r="A47" s="1" t="s">
        <v>117</v>
      </c>
      <c r="B47" s="1" t="s">
        <v>343</v>
      </c>
      <c r="C47" s="1" t="s">
        <v>458</v>
      </c>
      <c r="D47" s="1" t="s">
        <v>133</v>
      </c>
      <c r="E47" s="1" t="s">
        <v>265</v>
      </c>
      <c r="H47" s="8" t="s">
        <v>115</v>
      </c>
      <c r="I47" s="1" t="s">
        <v>264</v>
      </c>
      <c r="L47" s="1" t="s">
        <v>418</v>
      </c>
      <c r="M47" s="1" t="s">
        <v>417</v>
      </c>
      <c r="N47" s="1" t="s">
        <v>416</v>
      </c>
      <c r="Q47" s="1" t="s">
        <v>53</v>
      </c>
      <c r="S47" s="7" t="s">
        <v>448</v>
      </c>
      <c r="U47" s="1" t="s">
        <v>394</v>
      </c>
      <c r="X47" s="27" t="s">
        <v>452</v>
      </c>
      <c r="Y47" s="1" t="s">
        <v>53</v>
      </c>
    </row>
    <row r="48" spans="1:25" x14ac:dyDescent="0.25">
      <c r="A48" s="1" t="s">
        <v>117</v>
      </c>
      <c r="B48" s="1" t="s">
        <v>344</v>
      </c>
      <c r="C48" s="1" t="s">
        <v>458</v>
      </c>
      <c r="D48" s="1" t="s">
        <v>133</v>
      </c>
      <c r="E48" s="1" t="s">
        <v>265</v>
      </c>
      <c r="H48" s="8" t="s">
        <v>115</v>
      </c>
      <c r="I48" s="1" t="s">
        <v>264</v>
      </c>
      <c r="L48" s="1" t="s">
        <v>418</v>
      </c>
      <c r="M48" s="1" t="s">
        <v>417</v>
      </c>
      <c r="N48" s="1" t="s">
        <v>416</v>
      </c>
      <c r="Q48" s="1" t="s">
        <v>53</v>
      </c>
      <c r="S48" s="7" t="s">
        <v>448</v>
      </c>
      <c r="U48" s="1" t="s">
        <v>394</v>
      </c>
      <c r="X48" s="27" t="s">
        <v>452</v>
      </c>
      <c r="Y48" s="1" t="s">
        <v>53</v>
      </c>
    </row>
    <row r="49" spans="1:21" x14ac:dyDescent="0.25">
      <c r="A49" s="1" t="s">
        <v>159</v>
      </c>
      <c r="B49" s="1" t="s">
        <v>345</v>
      </c>
      <c r="C49" s="1" t="s">
        <v>458</v>
      </c>
      <c r="D49" s="1" t="s">
        <v>133</v>
      </c>
      <c r="E49" s="1" t="s">
        <v>158</v>
      </c>
      <c r="H49" s="1" t="s">
        <v>57</v>
      </c>
      <c r="I49" s="1" t="s">
        <v>160</v>
      </c>
      <c r="Q49" s="1" t="s">
        <v>53</v>
      </c>
      <c r="S49" s="7" t="s">
        <v>448</v>
      </c>
      <c r="U49" s="1" t="s">
        <v>393</v>
      </c>
    </row>
    <row r="50" spans="1:21" x14ac:dyDescent="0.25">
      <c r="A50" s="1" t="s">
        <v>159</v>
      </c>
      <c r="B50" s="1" t="s">
        <v>346</v>
      </c>
      <c r="C50" s="1" t="s">
        <v>458</v>
      </c>
      <c r="D50" s="1" t="s">
        <v>133</v>
      </c>
      <c r="E50" s="1" t="s">
        <v>158</v>
      </c>
      <c r="H50" s="1" t="s">
        <v>57</v>
      </c>
      <c r="I50" s="1" t="s">
        <v>160</v>
      </c>
      <c r="Q50" s="1" t="s">
        <v>53</v>
      </c>
      <c r="S50" s="7" t="s">
        <v>448</v>
      </c>
      <c r="U50" s="1" t="s">
        <v>393</v>
      </c>
    </row>
    <row r="51" spans="1:21" x14ac:dyDescent="0.25">
      <c r="A51" s="1" t="s">
        <v>13</v>
      </c>
      <c r="B51" s="1" t="s">
        <v>347</v>
      </c>
      <c r="C51" s="1" t="s">
        <v>458</v>
      </c>
      <c r="D51" s="1" t="s">
        <v>133</v>
      </c>
      <c r="E51" s="1" t="s">
        <v>118</v>
      </c>
      <c r="H51" s="8" t="s">
        <v>0</v>
      </c>
      <c r="I51" s="1" t="s">
        <v>119</v>
      </c>
      <c r="Q51" s="1" t="s">
        <v>53</v>
      </c>
      <c r="S51" s="7" t="s">
        <v>448</v>
      </c>
      <c r="U51" s="1" t="s">
        <v>393</v>
      </c>
    </row>
    <row r="52" spans="1:21" x14ac:dyDescent="0.25">
      <c r="A52" s="1" t="s">
        <v>13</v>
      </c>
      <c r="B52" s="1" t="s">
        <v>348</v>
      </c>
      <c r="C52" s="1" t="s">
        <v>458</v>
      </c>
      <c r="D52" s="1" t="s">
        <v>133</v>
      </c>
      <c r="E52" s="1" t="s">
        <v>118</v>
      </c>
      <c r="H52" s="8" t="s">
        <v>0</v>
      </c>
      <c r="I52" s="1" t="s">
        <v>119</v>
      </c>
      <c r="Q52" s="1" t="s">
        <v>53</v>
      </c>
      <c r="S52" s="7" t="s">
        <v>448</v>
      </c>
      <c r="U52" s="1" t="s">
        <v>393</v>
      </c>
    </row>
    <row r="53" spans="1:21" x14ac:dyDescent="0.25">
      <c r="A53" s="1" t="s">
        <v>13</v>
      </c>
      <c r="B53" s="1" t="s">
        <v>349</v>
      </c>
      <c r="C53" s="1" t="s">
        <v>458</v>
      </c>
      <c r="D53" s="1" t="s">
        <v>133</v>
      </c>
      <c r="E53" s="1" t="s">
        <v>266</v>
      </c>
      <c r="H53" s="8" t="s">
        <v>0</v>
      </c>
      <c r="I53" s="1" t="s">
        <v>119</v>
      </c>
      <c r="Q53" s="1" t="s">
        <v>53</v>
      </c>
      <c r="S53" s="7" t="s">
        <v>448</v>
      </c>
      <c r="U53" s="1" t="s">
        <v>393</v>
      </c>
    </row>
    <row r="54" spans="1:21" x14ac:dyDescent="0.25">
      <c r="A54" s="1" t="s">
        <v>13</v>
      </c>
      <c r="B54" s="1" t="s">
        <v>350</v>
      </c>
      <c r="C54" s="1" t="s">
        <v>458</v>
      </c>
      <c r="D54" s="1" t="s">
        <v>133</v>
      </c>
      <c r="E54" s="1" t="s">
        <v>118</v>
      </c>
      <c r="H54" s="8" t="s">
        <v>0</v>
      </c>
      <c r="I54" s="1" t="s">
        <v>119</v>
      </c>
      <c r="Q54" s="1" t="s">
        <v>53</v>
      </c>
      <c r="S54" s="7" t="s">
        <v>448</v>
      </c>
      <c r="U54" s="1" t="s">
        <v>393</v>
      </c>
    </row>
    <row r="55" spans="1:21" x14ac:dyDescent="0.25">
      <c r="A55" s="1" t="s">
        <v>13</v>
      </c>
      <c r="B55" s="1" t="s">
        <v>360</v>
      </c>
      <c r="C55" s="1" t="s">
        <v>458</v>
      </c>
      <c r="D55" s="1" t="s">
        <v>133</v>
      </c>
      <c r="E55" s="1" t="s">
        <v>118</v>
      </c>
      <c r="H55" s="8" t="s">
        <v>0</v>
      </c>
      <c r="I55" s="1" t="s">
        <v>119</v>
      </c>
      <c r="Q55" s="1" t="s">
        <v>53</v>
      </c>
      <c r="S55" s="7" t="s">
        <v>448</v>
      </c>
      <c r="U55" s="1" t="s">
        <v>393</v>
      </c>
    </row>
    <row r="56" spans="1:21" x14ac:dyDescent="0.25">
      <c r="A56" s="1" t="s">
        <v>13</v>
      </c>
      <c r="B56" s="1" t="s">
        <v>356</v>
      </c>
      <c r="C56" s="1" t="s">
        <v>458</v>
      </c>
      <c r="D56" s="1" t="s">
        <v>133</v>
      </c>
      <c r="E56" s="1" t="s">
        <v>118</v>
      </c>
      <c r="H56" s="8" t="s">
        <v>0</v>
      </c>
      <c r="I56" s="1" t="s">
        <v>119</v>
      </c>
      <c r="Q56" s="1" t="s">
        <v>53</v>
      </c>
      <c r="S56" s="7" t="s">
        <v>448</v>
      </c>
      <c r="U56" s="1" t="s">
        <v>393</v>
      </c>
    </row>
    <row r="57" spans="1:21" x14ac:dyDescent="0.25">
      <c r="A57" s="1" t="s">
        <v>13</v>
      </c>
      <c r="B57" s="1" t="s">
        <v>353</v>
      </c>
      <c r="C57" s="1" t="s">
        <v>458</v>
      </c>
      <c r="D57" s="1" t="s">
        <v>133</v>
      </c>
      <c r="E57" s="1" t="s">
        <v>118</v>
      </c>
      <c r="H57" s="8" t="s">
        <v>0</v>
      </c>
      <c r="I57" s="1" t="s">
        <v>119</v>
      </c>
      <c r="Q57" s="1" t="s">
        <v>53</v>
      </c>
      <c r="S57" s="7" t="s">
        <v>448</v>
      </c>
      <c r="U57" s="1" t="s">
        <v>393</v>
      </c>
    </row>
    <row r="58" spans="1:21" x14ac:dyDescent="0.25">
      <c r="A58" s="1" t="s">
        <v>13</v>
      </c>
      <c r="B58" s="1" t="s">
        <v>352</v>
      </c>
      <c r="C58" s="1" t="s">
        <v>458</v>
      </c>
      <c r="D58" s="1" t="s">
        <v>133</v>
      </c>
      <c r="E58" s="1" t="s">
        <v>266</v>
      </c>
      <c r="H58" s="8" t="s">
        <v>0</v>
      </c>
      <c r="I58" s="1" t="s">
        <v>119</v>
      </c>
      <c r="Q58" s="1" t="s">
        <v>53</v>
      </c>
      <c r="S58" s="7" t="s">
        <v>448</v>
      </c>
      <c r="U58" s="1" t="s">
        <v>393</v>
      </c>
    </row>
    <row r="59" spans="1:21" x14ac:dyDescent="0.25">
      <c r="A59" s="1" t="s">
        <v>13</v>
      </c>
      <c r="B59" s="1" t="s">
        <v>359</v>
      </c>
      <c r="C59" s="1" t="s">
        <v>458</v>
      </c>
      <c r="D59" s="1" t="s">
        <v>133</v>
      </c>
      <c r="E59" s="1" t="s">
        <v>118</v>
      </c>
      <c r="H59" s="8" t="s">
        <v>0</v>
      </c>
      <c r="I59" s="1" t="s">
        <v>119</v>
      </c>
      <c r="Q59" s="1" t="s">
        <v>53</v>
      </c>
      <c r="S59" s="7" t="s">
        <v>448</v>
      </c>
      <c r="U59" s="1" t="s">
        <v>393</v>
      </c>
    </row>
    <row r="60" spans="1:21" x14ac:dyDescent="0.25">
      <c r="A60" s="1" t="s">
        <v>13</v>
      </c>
      <c r="B60" s="1" t="s">
        <v>351</v>
      </c>
      <c r="C60" s="1" t="s">
        <v>458</v>
      </c>
      <c r="D60" s="1" t="s">
        <v>133</v>
      </c>
      <c r="E60" s="1" t="s">
        <v>118</v>
      </c>
      <c r="H60" s="8" t="s">
        <v>0</v>
      </c>
      <c r="I60" s="1" t="s">
        <v>119</v>
      </c>
      <c r="Q60" s="1" t="s">
        <v>53</v>
      </c>
      <c r="S60" s="7" t="s">
        <v>448</v>
      </c>
      <c r="U60" s="1" t="s">
        <v>393</v>
      </c>
    </row>
    <row r="61" spans="1:21" x14ac:dyDescent="0.25">
      <c r="A61" s="1" t="s">
        <v>15</v>
      </c>
      <c r="B61" s="1" t="s">
        <v>361</v>
      </c>
      <c r="C61" s="1" t="s">
        <v>458</v>
      </c>
      <c r="D61" s="1" t="s">
        <v>133</v>
      </c>
      <c r="E61" s="1" t="s">
        <v>272</v>
      </c>
      <c r="H61" s="1" t="s">
        <v>125</v>
      </c>
      <c r="I61" s="1" t="s">
        <v>267</v>
      </c>
      <c r="J61" s="1" t="s">
        <v>268</v>
      </c>
      <c r="Q61" s="1" t="s">
        <v>53</v>
      </c>
      <c r="S61" s="7" t="s">
        <v>448</v>
      </c>
      <c r="U61" s="1" t="s">
        <v>393</v>
      </c>
    </row>
    <row r="62" spans="1:21" x14ac:dyDescent="0.25">
      <c r="A62" s="1" t="s">
        <v>15</v>
      </c>
      <c r="B62" s="1" t="s">
        <v>362</v>
      </c>
      <c r="C62" s="1" t="s">
        <v>458</v>
      </c>
      <c r="D62" s="1" t="s">
        <v>133</v>
      </c>
      <c r="E62" s="1" t="s">
        <v>272</v>
      </c>
      <c r="H62" s="1" t="s">
        <v>125</v>
      </c>
      <c r="I62" s="1" t="s">
        <v>267</v>
      </c>
      <c r="J62" s="1" t="s">
        <v>269</v>
      </c>
      <c r="Q62" s="1" t="s">
        <v>53</v>
      </c>
      <c r="S62" s="7" t="s">
        <v>448</v>
      </c>
      <c r="U62" s="1" t="s">
        <v>393</v>
      </c>
    </row>
    <row r="63" spans="1:21" x14ac:dyDescent="0.25">
      <c r="A63" s="1" t="s">
        <v>15</v>
      </c>
      <c r="B63" s="1" t="s">
        <v>357</v>
      </c>
      <c r="C63" s="1" t="s">
        <v>458</v>
      </c>
      <c r="D63" s="1" t="s">
        <v>133</v>
      </c>
      <c r="E63" s="1" t="s">
        <v>272</v>
      </c>
      <c r="H63" s="1" t="s">
        <v>125</v>
      </c>
      <c r="I63" s="1" t="s">
        <v>267</v>
      </c>
      <c r="J63" s="1" t="s">
        <v>270</v>
      </c>
      <c r="Q63" s="1" t="s">
        <v>53</v>
      </c>
      <c r="S63" s="7" t="s">
        <v>448</v>
      </c>
      <c r="U63" s="1" t="s">
        <v>393</v>
      </c>
    </row>
    <row r="64" spans="1:21" x14ac:dyDescent="0.25">
      <c r="A64" s="1" t="s">
        <v>15</v>
      </c>
      <c r="B64" s="1" t="s">
        <v>354</v>
      </c>
      <c r="C64" s="1" t="s">
        <v>458</v>
      </c>
      <c r="D64" s="1" t="s">
        <v>133</v>
      </c>
      <c r="E64" s="1" t="s">
        <v>272</v>
      </c>
      <c r="H64" s="1" t="s">
        <v>125</v>
      </c>
      <c r="I64" s="1" t="s">
        <v>267</v>
      </c>
      <c r="J64" s="1" t="s">
        <v>271</v>
      </c>
      <c r="Q64" s="1" t="s">
        <v>53</v>
      </c>
      <c r="S64" s="7" t="s">
        <v>448</v>
      </c>
      <c r="U64" s="1" t="s">
        <v>393</v>
      </c>
    </row>
    <row r="65" spans="1:25" x14ac:dyDescent="0.25">
      <c r="A65" s="1" t="s">
        <v>66</v>
      </c>
      <c r="B65" s="1" t="s">
        <v>363</v>
      </c>
      <c r="C65" s="1" t="s">
        <v>458</v>
      </c>
      <c r="D65" s="1" t="s">
        <v>133</v>
      </c>
      <c r="E65" s="8" t="s">
        <v>129</v>
      </c>
      <c r="H65" s="8" t="s">
        <v>0</v>
      </c>
      <c r="I65" s="1" t="s">
        <v>273</v>
      </c>
      <c r="L65" s="1" t="s">
        <v>421</v>
      </c>
      <c r="M65" s="1">
        <v>1</v>
      </c>
      <c r="N65" s="24" t="s">
        <v>420</v>
      </c>
      <c r="O65" s="24" t="s">
        <v>419</v>
      </c>
      <c r="Q65" s="1" t="s">
        <v>53</v>
      </c>
      <c r="S65" s="7" t="s">
        <v>448</v>
      </c>
      <c r="U65" s="1" t="s">
        <v>394</v>
      </c>
      <c r="X65" s="1" t="s">
        <v>453</v>
      </c>
      <c r="Y65" s="1" t="s">
        <v>53</v>
      </c>
    </row>
    <row r="66" spans="1:25" x14ac:dyDescent="0.25">
      <c r="A66" s="1" t="s">
        <v>66</v>
      </c>
      <c r="B66" s="1" t="s">
        <v>364</v>
      </c>
      <c r="C66" s="1" t="s">
        <v>458</v>
      </c>
      <c r="D66" s="1" t="s">
        <v>133</v>
      </c>
      <c r="E66" s="8" t="s">
        <v>129</v>
      </c>
      <c r="H66" s="8" t="s">
        <v>0</v>
      </c>
      <c r="I66" s="1" t="s">
        <v>273</v>
      </c>
      <c r="L66" s="1" t="s">
        <v>421</v>
      </c>
      <c r="M66" s="1">
        <v>1</v>
      </c>
      <c r="N66" s="24" t="s">
        <v>420</v>
      </c>
      <c r="O66" s="24" t="s">
        <v>419</v>
      </c>
      <c r="Q66" s="1" t="s">
        <v>53</v>
      </c>
      <c r="S66" s="7" t="s">
        <v>448</v>
      </c>
      <c r="U66" s="1" t="s">
        <v>394</v>
      </c>
      <c r="X66" s="1" t="s">
        <v>453</v>
      </c>
      <c r="Y66" s="1" t="s">
        <v>53</v>
      </c>
    </row>
    <row r="67" spans="1:25" x14ac:dyDescent="0.25">
      <c r="A67" s="1" t="s">
        <v>66</v>
      </c>
      <c r="B67" s="1" t="s">
        <v>365</v>
      </c>
      <c r="C67" s="1" t="s">
        <v>458</v>
      </c>
      <c r="D67" s="1" t="s">
        <v>261</v>
      </c>
      <c r="E67" s="8" t="s">
        <v>129</v>
      </c>
      <c r="H67" s="8" t="s">
        <v>0</v>
      </c>
      <c r="I67" s="1" t="s">
        <v>273</v>
      </c>
      <c r="L67" s="1" t="s">
        <v>421</v>
      </c>
      <c r="M67" s="1">
        <v>1</v>
      </c>
      <c r="N67" s="24" t="s">
        <v>420</v>
      </c>
      <c r="O67" s="24" t="s">
        <v>419</v>
      </c>
      <c r="Q67" s="1" t="s">
        <v>53</v>
      </c>
      <c r="S67" s="7" t="s">
        <v>448</v>
      </c>
      <c r="U67" s="1" t="s">
        <v>394</v>
      </c>
      <c r="X67" s="1" t="s">
        <v>453</v>
      </c>
      <c r="Y67" s="1" t="s">
        <v>53</v>
      </c>
    </row>
    <row r="68" spans="1:25" x14ac:dyDescent="0.25">
      <c r="A68" s="1" t="s">
        <v>66</v>
      </c>
      <c r="B68" s="1" t="s">
        <v>366</v>
      </c>
      <c r="C68" s="1" t="s">
        <v>458</v>
      </c>
      <c r="D68" s="1" t="s">
        <v>261</v>
      </c>
      <c r="E68" s="8" t="s">
        <v>129</v>
      </c>
      <c r="H68" s="8" t="s">
        <v>0</v>
      </c>
      <c r="I68" s="1" t="s">
        <v>273</v>
      </c>
      <c r="L68" s="1" t="s">
        <v>421</v>
      </c>
      <c r="M68" s="1">
        <v>1</v>
      </c>
      <c r="N68" s="24" t="s">
        <v>420</v>
      </c>
      <c r="O68" s="24" t="s">
        <v>419</v>
      </c>
      <c r="Q68" s="1" t="s">
        <v>53</v>
      </c>
      <c r="S68" s="7" t="s">
        <v>448</v>
      </c>
      <c r="U68" s="1" t="s">
        <v>394</v>
      </c>
      <c r="X68" s="1" t="s">
        <v>453</v>
      </c>
      <c r="Y68" s="1" t="s">
        <v>53</v>
      </c>
    </row>
    <row r="69" spans="1:25" x14ac:dyDescent="0.25">
      <c r="A69" s="1" t="s">
        <v>66</v>
      </c>
      <c r="B69" s="1" t="s">
        <v>358</v>
      </c>
      <c r="C69" s="1" t="s">
        <v>458</v>
      </c>
      <c r="D69" s="1" t="s">
        <v>133</v>
      </c>
      <c r="E69" s="8" t="s">
        <v>129</v>
      </c>
      <c r="H69" s="8" t="s">
        <v>0</v>
      </c>
      <c r="I69" s="1" t="s">
        <v>273</v>
      </c>
      <c r="L69" s="1" t="s">
        <v>421</v>
      </c>
      <c r="M69" s="1">
        <v>1</v>
      </c>
      <c r="N69" s="24" t="s">
        <v>420</v>
      </c>
      <c r="O69" s="24" t="s">
        <v>419</v>
      </c>
      <c r="Q69" s="1" t="s">
        <v>53</v>
      </c>
      <c r="S69" s="7" t="s">
        <v>448</v>
      </c>
      <c r="U69" s="1" t="s">
        <v>394</v>
      </c>
      <c r="X69" s="1" t="s">
        <v>453</v>
      </c>
      <c r="Y69" s="1" t="s">
        <v>53</v>
      </c>
    </row>
    <row r="70" spans="1:25" x14ac:dyDescent="0.25">
      <c r="A70" s="1" t="s">
        <v>66</v>
      </c>
      <c r="B70" s="1" t="s">
        <v>355</v>
      </c>
      <c r="C70" s="1" t="s">
        <v>458</v>
      </c>
      <c r="D70" s="1" t="s">
        <v>133</v>
      </c>
      <c r="E70" s="8" t="s">
        <v>274</v>
      </c>
      <c r="H70" s="8" t="s">
        <v>0</v>
      </c>
      <c r="I70" s="1" t="s">
        <v>273</v>
      </c>
      <c r="L70" s="1" t="s">
        <v>421</v>
      </c>
      <c r="M70" s="1">
        <v>1</v>
      </c>
      <c r="N70" s="24" t="s">
        <v>420</v>
      </c>
      <c r="O70" s="24" t="s">
        <v>419</v>
      </c>
      <c r="Q70" s="1" t="s">
        <v>53</v>
      </c>
      <c r="S70" s="7" t="s">
        <v>448</v>
      </c>
      <c r="U70" s="1" t="s">
        <v>394</v>
      </c>
      <c r="X70" s="1" t="s">
        <v>453</v>
      </c>
      <c r="Y70" s="1" t="s">
        <v>53</v>
      </c>
    </row>
    <row r="71" spans="1:25" x14ac:dyDescent="0.25">
      <c r="A71" s="1" t="s">
        <v>17</v>
      </c>
      <c r="B71" s="1" t="s">
        <v>367</v>
      </c>
      <c r="C71" s="1" t="s">
        <v>458</v>
      </c>
      <c r="D71" s="1" t="s">
        <v>261</v>
      </c>
      <c r="E71" s="1" t="s">
        <v>275</v>
      </c>
      <c r="H71" s="8" t="s">
        <v>0</v>
      </c>
      <c r="I71" s="1" t="s">
        <v>276</v>
      </c>
      <c r="J71" s="8">
        <v>300015132</v>
      </c>
      <c r="Q71" s="1" t="s">
        <v>53</v>
      </c>
      <c r="S71" s="7" t="s">
        <v>448</v>
      </c>
      <c r="U71" s="1" t="s">
        <v>394</v>
      </c>
      <c r="X71" s="1" t="s">
        <v>453</v>
      </c>
      <c r="Y71" s="1" t="s">
        <v>53</v>
      </c>
    </row>
    <row r="72" spans="1:25" x14ac:dyDescent="0.25">
      <c r="A72" s="1" t="s">
        <v>279</v>
      </c>
      <c r="B72" s="1" t="s">
        <v>368</v>
      </c>
      <c r="C72" s="1" t="s">
        <v>458</v>
      </c>
      <c r="D72" s="1" t="s">
        <v>133</v>
      </c>
      <c r="E72" s="1" t="s">
        <v>278</v>
      </c>
      <c r="H72" s="8" t="s">
        <v>277</v>
      </c>
      <c r="I72" s="8">
        <v>28861</v>
      </c>
      <c r="Q72" s="1" t="s">
        <v>53</v>
      </c>
      <c r="S72" s="7" t="s">
        <v>448</v>
      </c>
      <c r="U72" s="1" t="s">
        <v>393</v>
      </c>
    </row>
    <row r="73" spans="1:25" x14ac:dyDescent="0.25">
      <c r="A73" s="1" t="s">
        <v>279</v>
      </c>
      <c r="B73" s="1" t="s">
        <v>369</v>
      </c>
      <c r="C73" s="1" t="s">
        <v>458</v>
      </c>
      <c r="D73" s="1" t="s">
        <v>133</v>
      </c>
      <c r="E73" s="1" t="s">
        <v>278</v>
      </c>
      <c r="H73" s="8" t="s">
        <v>277</v>
      </c>
      <c r="I73" s="8">
        <v>28861</v>
      </c>
      <c r="Q73" s="1" t="s">
        <v>53</v>
      </c>
      <c r="S73" s="7" t="s">
        <v>448</v>
      </c>
      <c r="U73" s="1" t="s">
        <v>393</v>
      </c>
    </row>
    <row r="74" spans="1:25" x14ac:dyDescent="0.25">
      <c r="A74" s="1" t="s">
        <v>280</v>
      </c>
      <c r="B74" s="1" t="s">
        <v>370</v>
      </c>
      <c r="C74" s="1" t="s">
        <v>458</v>
      </c>
      <c r="D74" s="1" t="s">
        <v>261</v>
      </c>
      <c r="E74" s="1" t="s">
        <v>284</v>
      </c>
      <c r="H74" s="8" t="s">
        <v>282</v>
      </c>
      <c r="I74" s="1" t="s">
        <v>283</v>
      </c>
      <c r="Q74" s="1" t="s">
        <v>53</v>
      </c>
      <c r="S74" s="7" t="s">
        <v>448</v>
      </c>
      <c r="U74" s="1" t="s">
        <v>393</v>
      </c>
    </row>
    <row r="75" spans="1:25" x14ac:dyDescent="0.25">
      <c r="A75" s="1" t="s">
        <v>281</v>
      </c>
      <c r="B75" s="1" t="s">
        <v>371</v>
      </c>
      <c r="C75" s="1" t="s">
        <v>458</v>
      </c>
      <c r="D75" s="1" t="s">
        <v>133</v>
      </c>
      <c r="E75" s="1" t="s">
        <v>285</v>
      </c>
      <c r="H75" s="8" t="s">
        <v>0</v>
      </c>
      <c r="I75" s="8">
        <v>1681</v>
      </c>
      <c r="O75" s="26" t="s">
        <v>446</v>
      </c>
      <c r="Q75" s="1" t="s">
        <v>53</v>
      </c>
      <c r="S75" s="7" t="s">
        <v>448</v>
      </c>
      <c r="U75" s="1" t="s">
        <v>394</v>
      </c>
      <c r="X75" s="28" t="s">
        <v>455</v>
      </c>
      <c r="Y75" s="1" t="s">
        <v>53</v>
      </c>
    </row>
    <row r="76" spans="1:25" x14ac:dyDescent="0.25">
      <c r="A76" s="1" t="s">
        <v>281</v>
      </c>
      <c r="B76" s="1" t="s">
        <v>372</v>
      </c>
      <c r="C76" s="1" t="s">
        <v>458</v>
      </c>
      <c r="D76" s="1" t="s">
        <v>261</v>
      </c>
      <c r="E76" s="1" t="s">
        <v>285</v>
      </c>
      <c r="H76" s="8" t="s">
        <v>0</v>
      </c>
      <c r="I76" s="8">
        <v>1681</v>
      </c>
      <c r="O76" s="25" t="s">
        <v>446</v>
      </c>
      <c r="Q76" s="1" t="s">
        <v>53</v>
      </c>
      <c r="S76" s="7" t="s">
        <v>448</v>
      </c>
      <c r="U76" s="1" t="s">
        <v>394</v>
      </c>
      <c r="X76" s="28" t="s">
        <v>455</v>
      </c>
      <c r="Y76" s="1" t="s">
        <v>53</v>
      </c>
    </row>
    <row r="77" spans="1:25" x14ac:dyDescent="0.25">
      <c r="A77" s="1" t="s">
        <v>281</v>
      </c>
      <c r="B77" s="1" t="s">
        <v>373</v>
      </c>
      <c r="C77" s="1" t="s">
        <v>458</v>
      </c>
      <c r="D77" s="1" t="s">
        <v>261</v>
      </c>
      <c r="E77" s="1" t="s">
        <v>285</v>
      </c>
      <c r="H77" s="8" t="s">
        <v>0</v>
      </c>
      <c r="I77" s="8">
        <v>1681</v>
      </c>
      <c r="O77" s="25" t="s">
        <v>446</v>
      </c>
      <c r="Q77" s="1" t="s">
        <v>53</v>
      </c>
      <c r="S77" s="7" t="s">
        <v>448</v>
      </c>
      <c r="U77" s="1" t="s">
        <v>394</v>
      </c>
      <c r="X77" s="28" t="s">
        <v>455</v>
      </c>
      <c r="Y77" s="1" t="s">
        <v>53</v>
      </c>
    </row>
    <row r="78" spans="1:25" x14ac:dyDescent="0.25">
      <c r="A78" s="1" t="s">
        <v>281</v>
      </c>
      <c r="B78" s="1" t="s">
        <v>374</v>
      </c>
      <c r="C78" s="1" t="s">
        <v>458</v>
      </c>
      <c r="D78" s="1" t="s">
        <v>133</v>
      </c>
      <c r="E78" s="1" t="s">
        <v>285</v>
      </c>
      <c r="H78" s="8" t="s">
        <v>0</v>
      </c>
      <c r="I78" s="8">
        <v>1681</v>
      </c>
      <c r="O78" s="25" t="s">
        <v>446</v>
      </c>
      <c r="Q78" s="1" t="s">
        <v>53</v>
      </c>
      <c r="S78" s="7" t="s">
        <v>448</v>
      </c>
      <c r="U78" s="1" t="s">
        <v>394</v>
      </c>
      <c r="X78" s="28" t="s">
        <v>455</v>
      </c>
      <c r="Y78" s="1" t="s">
        <v>53</v>
      </c>
    </row>
    <row r="79" spans="1:25" x14ac:dyDescent="0.25">
      <c r="A79" s="1" t="s">
        <v>288</v>
      </c>
      <c r="B79" s="1" t="s">
        <v>375</v>
      </c>
      <c r="C79" s="1" t="s">
        <v>458</v>
      </c>
      <c r="D79" s="1" t="s">
        <v>133</v>
      </c>
      <c r="E79" s="1" t="s">
        <v>287</v>
      </c>
      <c r="H79" s="1" t="s">
        <v>57</v>
      </c>
      <c r="I79" s="1" t="s">
        <v>286</v>
      </c>
      <c r="J79" s="1" t="s">
        <v>289</v>
      </c>
      <c r="O79" s="25" t="s">
        <v>447</v>
      </c>
      <c r="Q79" s="1" t="s">
        <v>53</v>
      </c>
      <c r="S79" s="7" t="s">
        <v>448</v>
      </c>
      <c r="U79" s="1" t="s">
        <v>394</v>
      </c>
      <c r="X79" s="27" t="s">
        <v>456</v>
      </c>
      <c r="Y79" s="1" t="s">
        <v>53</v>
      </c>
    </row>
    <row r="80" spans="1:25" x14ac:dyDescent="0.25">
      <c r="A80" s="1" t="s">
        <v>288</v>
      </c>
      <c r="B80" s="1" t="s">
        <v>376</v>
      </c>
      <c r="C80" s="1" t="s">
        <v>458</v>
      </c>
      <c r="D80" s="1" t="s">
        <v>133</v>
      </c>
      <c r="E80" s="1" t="s">
        <v>287</v>
      </c>
      <c r="H80" s="1" t="s">
        <v>57</v>
      </c>
      <c r="I80" s="1" t="s">
        <v>286</v>
      </c>
      <c r="J80" s="1" t="s">
        <v>290</v>
      </c>
      <c r="O80" s="25" t="s">
        <v>447</v>
      </c>
      <c r="Q80" s="1" t="s">
        <v>53</v>
      </c>
      <c r="S80" s="7" t="s">
        <v>448</v>
      </c>
      <c r="U80" s="1" t="s">
        <v>394</v>
      </c>
      <c r="X80" s="27" t="s">
        <v>456</v>
      </c>
      <c r="Y80" s="1" t="s">
        <v>53</v>
      </c>
    </row>
    <row r="81" spans="1:25" x14ac:dyDescent="0.25">
      <c r="A81" s="1" t="s">
        <v>288</v>
      </c>
      <c r="B81" s="1" t="s">
        <v>377</v>
      </c>
      <c r="C81" s="1" t="s">
        <v>458</v>
      </c>
      <c r="D81" s="1" t="s">
        <v>133</v>
      </c>
      <c r="E81" s="1" t="s">
        <v>287</v>
      </c>
      <c r="H81" s="1" t="s">
        <v>57</v>
      </c>
      <c r="I81" s="1" t="s">
        <v>286</v>
      </c>
      <c r="J81" s="1" t="s">
        <v>289</v>
      </c>
      <c r="O81" s="25" t="s">
        <v>447</v>
      </c>
      <c r="Q81" s="1" t="s">
        <v>53</v>
      </c>
      <c r="S81" s="7" t="s">
        <v>448</v>
      </c>
      <c r="U81" s="1" t="s">
        <v>394</v>
      </c>
      <c r="X81" s="27" t="s">
        <v>456</v>
      </c>
      <c r="Y81" s="1" t="s">
        <v>53</v>
      </c>
    </row>
    <row r="82" spans="1:25" x14ac:dyDescent="0.25">
      <c r="A82" s="1" t="s">
        <v>72</v>
      </c>
      <c r="B82" s="1" t="s">
        <v>378</v>
      </c>
      <c r="C82" s="1" t="s">
        <v>458</v>
      </c>
      <c r="D82" s="1" t="s">
        <v>133</v>
      </c>
      <c r="E82" s="1" t="s">
        <v>287</v>
      </c>
      <c r="H82" s="8" t="s">
        <v>0</v>
      </c>
      <c r="I82" s="1" t="s">
        <v>291</v>
      </c>
      <c r="Q82" s="1" t="s">
        <v>53</v>
      </c>
      <c r="S82" s="7" t="s">
        <v>448</v>
      </c>
      <c r="U82" s="1" t="s">
        <v>394</v>
      </c>
      <c r="X82" s="27" t="s">
        <v>456</v>
      </c>
      <c r="Y82" s="1" t="s">
        <v>53</v>
      </c>
    </row>
    <row r="83" spans="1:25" x14ac:dyDescent="0.25">
      <c r="A83" s="1" t="s">
        <v>72</v>
      </c>
      <c r="B83" s="1" t="s">
        <v>379</v>
      </c>
      <c r="C83" s="1" t="s">
        <v>458</v>
      </c>
      <c r="D83" s="1" t="s">
        <v>133</v>
      </c>
      <c r="E83" s="1" t="s">
        <v>292</v>
      </c>
      <c r="H83" s="8" t="s">
        <v>0</v>
      </c>
      <c r="I83" s="1" t="s">
        <v>295</v>
      </c>
      <c r="Q83" s="1" t="s">
        <v>53</v>
      </c>
      <c r="S83" s="7" t="s">
        <v>448</v>
      </c>
      <c r="U83" s="1" t="s">
        <v>393</v>
      </c>
    </row>
    <row r="84" spans="1:25" x14ac:dyDescent="0.25">
      <c r="A84" s="1" t="s">
        <v>72</v>
      </c>
      <c r="B84" s="1" t="s">
        <v>380</v>
      </c>
      <c r="C84" s="1" t="s">
        <v>458</v>
      </c>
      <c r="D84" s="1" t="s">
        <v>133</v>
      </c>
      <c r="E84" s="1" t="s">
        <v>292</v>
      </c>
      <c r="H84" s="8" t="s">
        <v>0</v>
      </c>
      <c r="I84" s="1" t="s">
        <v>295</v>
      </c>
      <c r="Q84" s="1" t="s">
        <v>53</v>
      </c>
      <c r="S84" s="7" t="s">
        <v>448</v>
      </c>
      <c r="U84" s="1" t="s">
        <v>393</v>
      </c>
    </row>
    <row r="85" spans="1:25" x14ac:dyDescent="0.25">
      <c r="A85" s="1" t="s">
        <v>72</v>
      </c>
      <c r="B85" s="1" t="s">
        <v>381</v>
      </c>
      <c r="C85" s="1" t="s">
        <v>458</v>
      </c>
      <c r="D85" s="1" t="s">
        <v>133</v>
      </c>
      <c r="E85" s="1" t="s">
        <v>292</v>
      </c>
      <c r="H85" s="8" t="s">
        <v>0</v>
      </c>
      <c r="I85" s="1" t="s">
        <v>295</v>
      </c>
      <c r="Q85" s="1" t="s">
        <v>53</v>
      </c>
      <c r="S85" s="7" t="s">
        <v>448</v>
      </c>
      <c r="U85" s="1" t="s">
        <v>393</v>
      </c>
    </row>
    <row r="86" spans="1:25" x14ac:dyDescent="0.25">
      <c r="A86" s="1" t="s">
        <v>72</v>
      </c>
      <c r="B86" s="1" t="s">
        <v>382</v>
      </c>
      <c r="C86" s="1" t="s">
        <v>458</v>
      </c>
      <c r="D86" s="1" t="s">
        <v>133</v>
      </c>
      <c r="E86" s="1" t="s">
        <v>292</v>
      </c>
      <c r="H86" s="8" t="s">
        <v>0</v>
      </c>
      <c r="I86" s="1" t="s">
        <v>295</v>
      </c>
      <c r="Q86" s="1" t="s">
        <v>53</v>
      </c>
      <c r="S86" s="7" t="s">
        <v>448</v>
      </c>
      <c r="U86" s="1" t="s">
        <v>393</v>
      </c>
    </row>
    <row r="87" spans="1:25" x14ac:dyDescent="0.25">
      <c r="A87" s="1" t="s">
        <v>72</v>
      </c>
      <c r="B87" s="1" t="s">
        <v>383</v>
      </c>
      <c r="C87" s="1" t="s">
        <v>458</v>
      </c>
      <c r="D87" s="1" t="s">
        <v>133</v>
      </c>
      <c r="E87" s="1" t="s">
        <v>292</v>
      </c>
      <c r="H87" s="8" t="s">
        <v>0</v>
      </c>
      <c r="I87" s="1" t="s">
        <v>295</v>
      </c>
      <c r="Q87" s="1" t="s">
        <v>53</v>
      </c>
      <c r="S87" s="7" t="s">
        <v>448</v>
      </c>
      <c r="U87" s="1" t="s">
        <v>393</v>
      </c>
    </row>
    <row r="88" spans="1:25" x14ac:dyDescent="0.25">
      <c r="A88" s="1" t="s">
        <v>72</v>
      </c>
      <c r="B88" s="1" t="s">
        <v>384</v>
      </c>
      <c r="C88" s="1" t="s">
        <v>458</v>
      </c>
      <c r="D88" s="1" t="s">
        <v>133</v>
      </c>
      <c r="E88" s="1" t="s">
        <v>292</v>
      </c>
      <c r="H88" s="8" t="s">
        <v>0</v>
      </c>
      <c r="I88" s="1" t="s">
        <v>295</v>
      </c>
      <c r="Q88" s="1" t="s">
        <v>53</v>
      </c>
      <c r="S88" s="7" t="s">
        <v>448</v>
      </c>
      <c r="U88" s="1" t="s">
        <v>393</v>
      </c>
    </row>
    <row r="89" spans="1:25" x14ac:dyDescent="0.25">
      <c r="A89" s="1" t="s">
        <v>72</v>
      </c>
      <c r="B89" s="1" t="s">
        <v>385</v>
      </c>
      <c r="C89" s="1" t="s">
        <v>458</v>
      </c>
      <c r="D89" s="1" t="s">
        <v>133</v>
      </c>
      <c r="E89" s="1" t="s">
        <v>292</v>
      </c>
      <c r="H89" s="8" t="s">
        <v>0</v>
      </c>
      <c r="I89" s="1" t="s">
        <v>295</v>
      </c>
      <c r="Q89" s="1" t="s">
        <v>53</v>
      </c>
      <c r="S89" s="7" t="s">
        <v>448</v>
      </c>
      <c r="U89" s="1" t="s">
        <v>393</v>
      </c>
    </row>
    <row r="90" spans="1:25" x14ac:dyDescent="0.25">
      <c r="A90" s="1" t="s">
        <v>72</v>
      </c>
      <c r="B90" s="1" t="s">
        <v>387</v>
      </c>
      <c r="C90" s="1" t="s">
        <v>458</v>
      </c>
      <c r="D90" s="1" t="s">
        <v>261</v>
      </c>
      <c r="E90" s="1" t="s">
        <v>293</v>
      </c>
      <c r="H90" s="8" t="s">
        <v>0</v>
      </c>
      <c r="I90" s="1" t="s">
        <v>296</v>
      </c>
      <c r="Q90" s="1" t="s">
        <v>53</v>
      </c>
      <c r="S90" s="7" t="s">
        <v>448</v>
      </c>
      <c r="U90" s="1" t="s">
        <v>393</v>
      </c>
    </row>
    <row r="91" spans="1:25" x14ac:dyDescent="0.25">
      <c r="A91" s="1" t="s">
        <v>72</v>
      </c>
      <c r="B91" s="1" t="s">
        <v>386</v>
      </c>
      <c r="C91" s="1" t="s">
        <v>458</v>
      </c>
      <c r="D91" s="1" t="s">
        <v>133</v>
      </c>
      <c r="E91" s="1" t="s">
        <v>292</v>
      </c>
      <c r="H91" s="8" t="s">
        <v>0</v>
      </c>
      <c r="I91" s="1" t="s">
        <v>295</v>
      </c>
      <c r="Q91" s="1" t="s">
        <v>53</v>
      </c>
      <c r="S91" s="7" t="s">
        <v>448</v>
      </c>
      <c r="U91" s="1" t="s">
        <v>393</v>
      </c>
    </row>
    <row r="92" spans="1:25" x14ac:dyDescent="0.25">
      <c r="A92" s="1" t="s">
        <v>72</v>
      </c>
      <c r="B92" s="1" t="s">
        <v>388</v>
      </c>
      <c r="C92" s="1" t="s">
        <v>458</v>
      </c>
      <c r="D92" s="1" t="s">
        <v>133</v>
      </c>
      <c r="E92" s="1" t="s">
        <v>294</v>
      </c>
      <c r="H92" s="8" t="s">
        <v>0</v>
      </c>
      <c r="I92" s="1" t="s">
        <v>291</v>
      </c>
      <c r="Q92" s="1" t="s">
        <v>53</v>
      </c>
      <c r="S92" s="7" t="s">
        <v>448</v>
      </c>
      <c r="U92" s="1" t="s">
        <v>393</v>
      </c>
    </row>
    <row r="93" spans="1:25" x14ac:dyDescent="0.25">
      <c r="A93" s="1" t="s">
        <v>72</v>
      </c>
      <c r="B93" s="1" t="s">
        <v>389</v>
      </c>
      <c r="C93" s="1" t="s">
        <v>458</v>
      </c>
      <c r="D93" s="1" t="s">
        <v>133</v>
      </c>
      <c r="E93" s="1" t="s">
        <v>292</v>
      </c>
      <c r="H93" s="8" t="s">
        <v>0</v>
      </c>
      <c r="I93" s="1" t="s">
        <v>297</v>
      </c>
      <c r="Q93" s="1" t="s">
        <v>53</v>
      </c>
      <c r="S93" s="7" t="s">
        <v>448</v>
      </c>
      <c r="U93" s="1" t="s">
        <v>393</v>
      </c>
    </row>
    <row r="94" spans="1:25" x14ac:dyDescent="0.25">
      <c r="A94" s="1" t="s">
        <v>72</v>
      </c>
      <c r="B94" s="1" t="s">
        <v>390</v>
      </c>
      <c r="C94" s="1" t="s">
        <v>458</v>
      </c>
      <c r="D94" s="1" t="s">
        <v>133</v>
      </c>
      <c r="E94" s="1" t="s">
        <v>292</v>
      </c>
      <c r="H94" s="8" t="s">
        <v>0</v>
      </c>
      <c r="I94" s="1" t="s">
        <v>297</v>
      </c>
      <c r="Q94" s="1" t="s">
        <v>53</v>
      </c>
      <c r="S94" s="7" t="s">
        <v>448</v>
      </c>
      <c r="U94" s="1" t="s">
        <v>393</v>
      </c>
    </row>
    <row r="95" spans="1:25" x14ac:dyDescent="0.25">
      <c r="A95" s="1" t="s">
        <v>72</v>
      </c>
      <c r="B95" s="1" t="s">
        <v>391</v>
      </c>
      <c r="C95" s="1" t="s">
        <v>458</v>
      </c>
      <c r="D95" s="1" t="s">
        <v>133</v>
      </c>
      <c r="E95" s="1" t="s">
        <v>292</v>
      </c>
      <c r="H95" s="8" t="s">
        <v>0</v>
      </c>
      <c r="I95" s="1" t="s">
        <v>297</v>
      </c>
      <c r="Q95" s="1" t="s">
        <v>53</v>
      </c>
      <c r="S95" s="7" t="s">
        <v>448</v>
      </c>
      <c r="U95" s="1" t="s">
        <v>393</v>
      </c>
    </row>
    <row r="96" spans="1:25" x14ac:dyDescent="0.25">
      <c r="A96" s="1" t="s">
        <v>72</v>
      </c>
      <c r="B96" s="1" t="s">
        <v>392</v>
      </c>
      <c r="C96" s="1" t="s">
        <v>458</v>
      </c>
      <c r="D96" s="1" t="s">
        <v>133</v>
      </c>
      <c r="E96" s="1" t="s">
        <v>292</v>
      </c>
      <c r="H96" s="8" t="s">
        <v>0</v>
      </c>
      <c r="I96" s="1" t="s">
        <v>297</v>
      </c>
      <c r="Q96" s="1" t="s">
        <v>53</v>
      </c>
      <c r="S96" s="7" t="s">
        <v>448</v>
      </c>
      <c r="U96" s="1" t="s">
        <v>393</v>
      </c>
    </row>
    <row r="97" spans="1:21" x14ac:dyDescent="0.25">
      <c r="A97" s="1" t="s">
        <v>427</v>
      </c>
      <c r="B97" s="1" t="s">
        <v>434</v>
      </c>
      <c r="C97" s="1" t="s">
        <v>458</v>
      </c>
      <c r="D97" s="1" t="s">
        <v>133</v>
      </c>
      <c r="E97" s="1" t="s">
        <v>433</v>
      </c>
      <c r="H97" s="8" t="s">
        <v>428</v>
      </c>
      <c r="I97" s="1" t="s">
        <v>435</v>
      </c>
      <c r="K97" s="1" t="s">
        <v>436</v>
      </c>
      <c r="Q97" s="1" t="s">
        <v>53</v>
      </c>
      <c r="S97" s="7" t="s">
        <v>448</v>
      </c>
      <c r="U97" s="1" t="s">
        <v>393</v>
      </c>
    </row>
  </sheetData>
  <pageMargins left="0.511811024" right="0.511811024" top="0.78740157499999996" bottom="0.78740157499999996" header="0.31496062000000002" footer="0.31496062000000002"/>
  <pageSetup paperSize="9" fitToWidth="0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DASHBOARD_GERAL</vt:lpstr>
      <vt:lpstr>BASE_CONSOLIDADA</vt:lpstr>
      <vt:lpstr>4600-LE-6902</vt:lpstr>
      <vt:lpstr>4600-LE-7201</vt:lpstr>
      <vt:lpstr>4600-LE-7301</vt:lpstr>
      <vt:lpstr>4600-LE-7302</vt:lpstr>
      <vt:lpstr>4600-LE-7303</vt:lpstr>
    </vt:vector>
  </TitlesOfParts>
  <Company>HEMOBRAS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Ronaldo Pedrosa da Silva</dc:creator>
  <cp:lastModifiedBy>Ronaldo Pedrosa da Silva</cp:lastModifiedBy>
  <cp:lastPrinted>2026-01-22T13:33:39Z</cp:lastPrinted>
  <dcterms:created xsi:type="dcterms:W3CDTF">2026-01-14T12:21:53Z</dcterms:created>
  <dcterms:modified xsi:type="dcterms:W3CDTF">2026-02-04T17:14:43Z</dcterms:modified>
</cp:coreProperties>
</file>