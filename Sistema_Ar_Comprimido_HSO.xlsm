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psilva_g4f\Documents\EFLUENTES_HSO\"/>
    </mc:Choice>
  </mc:AlternateContent>
  <xr:revisionPtr revIDLastSave="0" documentId="13_ncr:1_{F7E0ECD9-DE0A-4907-8730-282D20DC1E93}" xr6:coauthVersionLast="36" xr6:coauthVersionMax="36" xr10:uidLastSave="{00000000-0000-0000-0000-000000000000}"/>
  <bookViews>
    <workbookView xWindow="0" yWindow="0" windowWidth="21600" windowHeight="9405" firstSheet="1" activeTab="5" xr2:uid="{8E1A8130-D55B-436B-9661-393B0FFECFD5}"/>
  </bookViews>
  <sheets>
    <sheet name="DASHBOARD_GERAL" sheetId="17" r:id="rId1"/>
    <sheet name="BASE_CONSOLIDADA" sheetId="16" r:id="rId2"/>
    <sheet name="4900-LE-7101 (CA)" sheetId="18" r:id="rId3"/>
    <sheet name="4900-LE-7102 (CA)" sheetId="19" r:id="rId4"/>
    <sheet name="4900-LE-7103 (CA)" sheetId="20" r:id="rId5"/>
    <sheet name="4900-LE-7104 (CA)" sheetId="21" r:id="rId6"/>
  </sheets>
  <definedNames>
    <definedName name="SegmentaçãodeDados_Calibração__SIM_ou_NÃO">#N/A</definedName>
    <definedName name="SegmentaçãodeDados_Local">#N/A</definedName>
    <definedName name="SegmentaçãodeDados_Sistema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  <x14:slicerCache r:id="rId9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" i="16" l="1"/>
  <c r="AG3" i="16"/>
  <c r="AG4" i="16"/>
  <c r="AG5" i="16"/>
  <c r="AG6" i="16"/>
  <c r="AG7" i="16"/>
  <c r="AG8" i="16"/>
  <c r="AG9" i="16"/>
  <c r="AG10" i="16"/>
  <c r="AG11" i="16"/>
  <c r="AG12" i="16"/>
  <c r="AG13" i="16"/>
  <c r="AG14" i="16"/>
  <c r="AG15" i="16"/>
  <c r="AG16" i="16"/>
  <c r="AG17" i="16"/>
  <c r="AG18" i="16"/>
  <c r="AG19" i="16"/>
  <c r="AG20" i="16"/>
  <c r="AG21" i="16"/>
  <c r="AG22" i="16"/>
  <c r="AG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G103" i="16"/>
  <c r="AG104" i="16"/>
  <c r="AG105" i="16"/>
  <c r="AG106" i="16"/>
  <c r="AG107" i="16"/>
  <c r="AG108" i="16"/>
  <c r="AG109" i="16"/>
  <c r="AG110" i="16"/>
  <c r="AG111" i="16"/>
  <c r="AG112" i="16"/>
  <c r="AG113" i="16"/>
  <c r="AG114" i="16"/>
  <c r="AG115" i="16"/>
  <c r="AG116" i="16"/>
  <c r="AG117" i="16"/>
  <c r="AG118" i="16"/>
  <c r="AG119" i="16"/>
  <c r="AG120" i="16"/>
  <c r="AG121" i="16"/>
  <c r="AG122" i="16"/>
  <c r="AG123" i="16"/>
  <c r="AG124" i="16"/>
  <c r="AG125" i="16"/>
  <c r="AG126" i="16"/>
  <c r="AG127" i="16"/>
  <c r="AG128" i="16"/>
  <c r="AG129" i="16"/>
  <c r="AG130" i="16"/>
  <c r="AG131" i="16"/>
  <c r="AG132" i="16"/>
  <c r="AG133" i="16"/>
  <c r="AG134" i="16"/>
  <c r="AG135" i="16"/>
  <c r="AG136" i="16"/>
  <c r="AG137" i="16"/>
  <c r="AG138" i="16"/>
  <c r="AG139" i="16"/>
  <c r="AG140" i="16"/>
  <c r="AG141" i="16"/>
  <c r="AG142" i="16"/>
  <c r="AG143" i="16"/>
  <c r="AG144" i="16"/>
  <c r="AG145" i="16"/>
  <c r="AG146" i="16"/>
  <c r="AG147" i="16"/>
  <c r="AG148" i="16"/>
  <c r="AG149" i="16"/>
  <c r="AG150" i="16"/>
  <c r="AG151" i="16"/>
  <c r="AG152" i="16"/>
  <c r="AG153" i="16"/>
  <c r="AG154" i="16"/>
  <c r="AG155" i="16"/>
  <c r="AG156" i="16"/>
  <c r="AG157" i="16"/>
  <c r="AG158" i="16"/>
  <c r="AG159" i="16"/>
  <c r="AG160" i="16"/>
  <c r="AG161" i="16"/>
  <c r="AG162" i="16"/>
  <c r="AG163" i="16"/>
  <c r="AG164" i="16"/>
  <c r="AG165" i="16"/>
  <c r="AG166" i="16"/>
  <c r="AG167" i="16"/>
  <c r="AG168" i="16"/>
  <c r="AG169" i="16"/>
  <c r="AG170" i="16"/>
  <c r="AG171" i="16"/>
  <c r="AG172" i="16"/>
  <c r="AG173" i="16"/>
  <c r="AG174" i="16"/>
  <c r="AG175" i="16"/>
  <c r="AG176" i="16"/>
  <c r="AG177" i="16"/>
  <c r="AG178" i="16"/>
  <c r="AG179" i="16"/>
  <c r="AG180" i="16"/>
  <c r="AF3" i="16"/>
  <c r="AF16" i="16"/>
  <c r="AF18" i="16"/>
  <c r="AF27" i="16"/>
  <c r="AF28" i="16"/>
  <c r="AF29" i="16"/>
  <c r="AF51" i="16"/>
  <c r="AF52" i="16"/>
  <c r="AF53" i="16"/>
  <c r="AF54" i="16"/>
  <c r="AF55" i="16"/>
  <c r="AF75" i="16"/>
  <c r="AF76" i="16"/>
  <c r="AF77" i="16"/>
  <c r="AF78" i="16"/>
  <c r="AF79" i="16"/>
  <c r="AF87" i="16"/>
  <c r="AF88" i="16"/>
  <c r="AF111" i="16"/>
  <c r="AF112" i="16"/>
  <c r="AF113" i="16"/>
  <c r="AF114" i="16"/>
  <c r="AF136" i="16"/>
  <c r="AF137" i="16"/>
  <c r="AF138" i="16"/>
  <c r="AF147" i="16"/>
  <c r="AF171" i="16"/>
  <c r="AF172" i="16"/>
  <c r="AF173" i="16"/>
  <c r="AE2" i="16"/>
  <c r="AF2" i="16" s="1"/>
  <c r="AE3" i="16"/>
  <c r="AE4" i="16"/>
  <c r="AF4" i="16" s="1"/>
  <c r="AE5" i="16"/>
  <c r="AF5" i="16" s="1"/>
  <c r="AE6" i="16"/>
  <c r="AF6" i="16" s="1"/>
  <c r="AE7" i="16"/>
  <c r="AF7" i="16" s="1"/>
  <c r="AE8" i="16"/>
  <c r="AF8" i="16" s="1"/>
  <c r="AE9" i="16"/>
  <c r="AF9" i="16" s="1"/>
  <c r="AE10" i="16"/>
  <c r="AF10" i="16" s="1"/>
  <c r="AE11" i="16"/>
  <c r="AF11" i="16" s="1"/>
  <c r="AE12" i="16"/>
  <c r="AF12" i="16" s="1"/>
  <c r="AE13" i="16"/>
  <c r="AF13" i="16" s="1"/>
  <c r="AE14" i="16"/>
  <c r="AF14" i="16" s="1"/>
  <c r="AE15" i="16"/>
  <c r="AF15" i="16" s="1"/>
  <c r="AE16" i="16"/>
  <c r="AE17" i="16"/>
  <c r="AF17" i="16" s="1"/>
  <c r="AE18" i="16"/>
  <c r="AE19" i="16"/>
  <c r="AF19" i="16" s="1"/>
  <c r="AE20" i="16"/>
  <c r="AF20" i="16" s="1"/>
  <c r="AE21" i="16"/>
  <c r="AF21" i="16" s="1"/>
  <c r="AE22" i="16"/>
  <c r="AF22" i="16" s="1"/>
  <c r="AE23" i="16"/>
  <c r="AF23" i="16" s="1"/>
  <c r="AE24" i="16"/>
  <c r="AF24" i="16" s="1"/>
  <c r="AE25" i="16"/>
  <c r="AF25" i="16" s="1"/>
  <c r="AE26" i="16"/>
  <c r="AF26" i="16" s="1"/>
  <c r="AE27" i="16"/>
  <c r="AE28" i="16"/>
  <c r="AE29" i="16"/>
  <c r="AE30" i="16"/>
  <c r="AF30" i="16" s="1"/>
  <c r="AE31" i="16"/>
  <c r="AF31" i="16" s="1"/>
  <c r="AE32" i="16"/>
  <c r="AF32" i="16" s="1"/>
  <c r="AE33" i="16"/>
  <c r="AF33" i="16" s="1"/>
  <c r="AE34" i="16"/>
  <c r="AF34" i="16" s="1"/>
  <c r="AE35" i="16"/>
  <c r="AF35" i="16" s="1"/>
  <c r="AE36" i="16"/>
  <c r="AF36" i="16" s="1"/>
  <c r="AE37" i="16"/>
  <c r="AF37" i="16" s="1"/>
  <c r="AE38" i="16"/>
  <c r="AF38" i="16" s="1"/>
  <c r="AE39" i="16"/>
  <c r="AF39" i="16" s="1"/>
  <c r="AE40" i="16"/>
  <c r="AF40" i="16" s="1"/>
  <c r="AE41" i="16"/>
  <c r="AF41" i="16" s="1"/>
  <c r="AE42" i="16"/>
  <c r="AF42" i="16" s="1"/>
  <c r="AE43" i="16"/>
  <c r="AF43" i="16" s="1"/>
  <c r="AE44" i="16"/>
  <c r="AF44" i="16" s="1"/>
  <c r="AE45" i="16"/>
  <c r="AF45" i="16" s="1"/>
  <c r="AE46" i="16"/>
  <c r="AF46" i="16" s="1"/>
  <c r="AE47" i="16"/>
  <c r="AF47" i="16" s="1"/>
  <c r="AE48" i="16"/>
  <c r="AF48" i="16" s="1"/>
  <c r="AE49" i="16"/>
  <c r="AF49" i="16" s="1"/>
  <c r="AE50" i="16"/>
  <c r="AF50" i="16" s="1"/>
  <c r="AE51" i="16"/>
  <c r="AE52" i="16"/>
  <c r="AE53" i="16"/>
  <c r="AE54" i="16"/>
  <c r="AE55" i="16"/>
  <c r="AE56" i="16"/>
  <c r="AF56" i="16" s="1"/>
  <c r="AE57" i="16"/>
  <c r="AF57" i="16" s="1"/>
  <c r="AE58" i="16"/>
  <c r="AF58" i="16" s="1"/>
  <c r="AE59" i="16"/>
  <c r="AF59" i="16" s="1"/>
  <c r="AE60" i="16"/>
  <c r="AF60" i="16" s="1"/>
  <c r="AE61" i="16"/>
  <c r="AF61" i="16" s="1"/>
  <c r="AE62" i="16"/>
  <c r="AF62" i="16" s="1"/>
  <c r="AE63" i="16"/>
  <c r="AF63" i="16" s="1"/>
  <c r="AE64" i="16"/>
  <c r="AF64" i="16" s="1"/>
  <c r="AE65" i="16"/>
  <c r="AF65" i="16" s="1"/>
  <c r="AE66" i="16"/>
  <c r="AF66" i="16" s="1"/>
  <c r="AE67" i="16"/>
  <c r="AF67" i="16" s="1"/>
  <c r="AE68" i="16"/>
  <c r="AF68" i="16" s="1"/>
  <c r="AE69" i="16"/>
  <c r="AF69" i="16" s="1"/>
  <c r="AE70" i="16"/>
  <c r="AF70" i="16" s="1"/>
  <c r="AE71" i="16"/>
  <c r="AF71" i="16" s="1"/>
  <c r="AE72" i="16"/>
  <c r="AF72" i="16" s="1"/>
  <c r="AE73" i="16"/>
  <c r="AF73" i="16" s="1"/>
  <c r="AE74" i="16"/>
  <c r="AF74" i="16" s="1"/>
  <c r="AE75" i="16"/>
  <c r="AE76" i="16"/>
  <c r="AE77" i="16"/>
  <c r="AE78" i="16"/>
  <c r="AE79" i="16"/>
  <c r="AE80" i="16"/>
  <c r="AF80" i="16" s="1"/>
  <c r="AE81" i="16"/>
  <c r="AF81" i="16" s="1"/>
  <c r="AE82" i="16"/>
  <c r="AF82" i="16" s="1"/>
  <c r="AE83" i="16"/>
  <c r="AF83" i="16" s="1"/>
  <c r="AE84" i="16"/>
  <c r="AF84" i="16" s="1"/>
  <c r="AE85" i="16"/>
  <c r="AF85" i="16" s="1"/>
  <c r="AE86" i="16"/>
  <c r="AF86" i="16" s="1"/>
  <c r="AE87" i="16"/>
  <c r="AE88" i="16"/>
  <c r="AE89" i="16"/>
  <c r="AF89" i="16" s="1"/>
  <c r="AE90" i="16"/>
  <c r="AF90" i="16" s="1"/>
  <c r="AE91" i="16"/>
  <c r="AF91" i="16" s="1"/>
  <c r="AE92" i="16"/>
  <c r="AF92" i="16" s="1"/>
  <c r="AE93" i="16"/>
  <c r="AF93" i="16" s="1"/>
  <c r="AE94" i="16"/>
  <c r="AF94" i="16" s="1"/>
  <c r="AE95" i="16"/>
  <c r="AF95" i="16" s="1"/>
  <c r="AE96" i="16"/>
  <c r="AF96" i="16" s="1"/>
  <c r="AE97" i="16"/>
  <c r="AF97" i="16" s="1"/>
  <c r="AE98" i="16"/>
  <c r="AF98" i="16" s="1"/>
  <c r="AE99" i="16"/>
  <c r="AF99" i="16" s="1"/>
  <c r="AE100" i="16"/>
  <c r="AF100" i="16" s="1"/>
  <c r="AE101" i="16"/>
  <c r="AF101" i="16" s="1"/>
  <c r="AE102" i="16"/>
  <c r="AF102" i="16" s="1"/>
  <c r="AE103" i="16"/>
  <c r="AF103" i="16" s="1"/>
  <c r="AE104" i="16"/>
  <c r="AF104" i="16" s="1"/>
  <c r="AE105" i="16"/>
  <c r="AF105" i="16" s="1"/>
  <c r="AE106" i="16"/>
  <c r="AF106" i="16" s="1"/>
  <c r="AE107" i="16"/>
  <c r="AF107" i="16" s="1"/>
  <c r="AE108" i="16"/>
  <c r="AF108" i="16" s="1"/>
  <c r="AE109" i="16"/>
  <c r="AF109" i="16" s="1"/>
  <c r="AE110" i="16"/>
  <c r="AF110" i="16" s="1"/>
  <c r="AE111" i="16"/>
  <c r="AE112" i="16"/>
  <c r="AE113" i="16"/>
  <c r="AE114" i="16"/>
  <c r="AE115" i="16"/>
  <c r="AF115" i="16" s="1"/>
  <c r="AE116" i="16"/>
  <c r="AF116" i="16" s="1"/>
  <c r="AE117" i="16"/>
  <c r="AF117" i="16" s="1"/>
  <c r="AE118" i="16"/>
  <c r="AF118" i="16" s="1"/>
  <c r="AE119" i="16"/>
  <c r="AF119" i="16" s="1"/>
  <c r="AE120" i="16"/>
  <c r="AF120" i="16" s="1"/>
  <c r="AE121" i="16"/>
  <c r="AF121" i="16" s="1"/>
  <c r="AE122" i="16"/>
  <c r="AF122" i="16" s="1"/>
  <c r="AE123" i="16"/>
  <c r="AF123" i="16" s="1"/>
  <c r="AE124" i="16"/>
  <c r="AF124" i="16" s="1"/>
  <c r="AE125" i="16"/>
  <c r="AF125" i="16" s="1"/>
  <c r="AE126" i="16"/>
  <c r="AF126" i="16" s="1"/>
  <c r="AE127" i="16"/>
  <c r="AF127" i="16" s="1"/>
  <c r="AE128" i="16"/>
  <c r="AF128" i="16" s="1"/>
  <c r="AE129" i="16"/>
  <c r="AF129" i="16" s="1"/>
  <c r="AE130" i="16"/>
  <c r="AF130" i="16" s="1"/>
  <c r="AE131" i="16"/>
  <c r="AF131" i="16" s="1"/>
  <c r="AE132" i="16"/>
  <c r="AF132" i="16" s="1"/>
  <c r="AE133" i="16"/>
  <c r="AF133" i="16" s="1"/>
  <c r="AE134" i="16"/>
  <c r="AF134" i="16" s="1"/>
  <c r="AE135" i="16"/>
  <c r="AF135" i="16" s="1"/>
  <c r="AE136" i="16"/>
  <c r="AE137" i="16"/>
  <c r="AE138" i="16"/>
  <c r="AE139" i="16"/>
  <c r="AF139" i="16" s="1"/>
  <c r="AE140" i="16"/>
  <c r="AF140" i="16" s="1"/>
  <c r="AE141" i="16"/>
  <c r="AF141" i="16" s="1"/>
  <c r="AE142" i="16"/>
  <c r="AF142" i="16" s="1"/>
  <c r="AE143" i="16"/>
  <c r="AF143" i="16" s="1"/>
  <c r="AE144" i="16"/>
  <c r="AF144" i="16" s="1"/>
  <c r="AE145" i="16"/>
  <c r="AF145" i="16" s="1"/>
  <c r="AE146" i="16"/>
  <c r="AF146" i="16" s="1"/>
  <c r="AE147" i="16"/>
  <c r="AE148" i="16"/>
  <c r="AF148" i="16" s="1"/>
  <c r="AE149" i="16"/>
  <c r="AF149" i="16" s="1"/>
  <c r="AE150" i="16"/>
  <c r="AF150" i="16" s="1"/>
  <c r="AE151" i="16"/>
  <c r="AF151" i="16" s="1"/>
  <c r="AE152" i="16"/>
  <c r="AF152" i="16" s="1"/>
  <c r="AE153" i="16"/>
  <c r="AF153" i="16" s="1"/>
  <c r="AE154" i="16"/>
  <c r="AF154" i="16" s="1"/>
  <c r="AE155" i="16"/>
  <c r="AF155" i="16" s="1"/>
  <c r="AE156" i="16"/>
  <c r="AF156" i="16" s="1"/>
  <c r="AE157" i="16"/>
  <c r="AF157" i="16" s="1"/>
  <c r="AE158" i="16"/>
  <c r="AF158" i="16" s="1"/>
  <c r="AE159" i="16"/>
  <c r="AF159" i="16" s="1"/>
  <c r="AE160" i="16"/>
  <c r="AF160" i="16" s="1"/>
  <c r="AE161" i="16"/>
  <c r="AF161" i="16" s="1"/>
  <c r="AE162" i="16"/>
  <c r="AF162" i="16" s="1"/>
  <c r="AE163" i="16"/>
  <c r="AF163" i="16" s="1"/>
  <c r="AE164" i="16"/>
  <c r="AF164" i="16" s="1"/>
  <c r="AE165" i="16"/>
  <c r="AF165" i="16" s="1"/>
  <c r="AE166" i="16"/>
  <c r="AF166" i="16" s="1"/>
  <c r="AE167" i="16"/>
  <c r="AF167" i="16" s="1"/>
  <c r="AE168" i="16"/>
  <c r="AF168" i="16" s="1"/>
  <c r="AE169" i="16"/>
  <c r="AF169" i="16" s="1"/>
  <c r="AE170" i="16"/>
  <c r="AF170" i="16" s="1"/>
  <c r="AE171" i="16"/>
  <c r="AE172" i="16"/>
  <c r="AE173" i="16"/>
  <c r="AE174" i="16"/>
  <c r="AF174" i="16" s="1"/>
  <c r="AE175" i="16"/>
  <c r="AF175" i="16" s="1"/>
  <c r="AE176" i="16"/>
  <c r="AF176" i="16" s="1"/>
  <c r="AE177" i="16"/>
  <c r="AF177" i="16" s="1"/>
  <c r="AE178" i="16"/>
  <c r="AF178" i="16" s="1"/>
  <c r="AE179" i="16"/>
  <c r="AF179" i="16" s="1"/>
  <c r="AE180" i="16"/>
  <c r="AF180" i="16" s="1"/>
  <c r="B5" i="17" l="1"/>
  <c r="H5" i="17" l="1"/>
  <c r="E5" i="17"/>
</calcChain>
</file>

<file path=xl/sharedStrings.xml><?xml version="1.0" encoding="utf-8"?>
<sst xmlns="http://schemas.openxmlformats.org/spreadsheetml/2006/main" count="4888" uniqueCount="594">
  <si>
    <t>SERIC TECHNOLOGIE</t>
  </si>
  <si>
    <t>HV</t>
  </si>
  <si>
    <t>Sistema</t>
  </si>
  <si>
    <t>TAG Hemobrás</t>
  </si>
  <si>
    <t>Local</t>
  </si>
  <si>
    <t>Sala/Sistema</t>
  </si>
  <si>
    <t>Descrição dos Equipamentos</t>
  </si>
  <si>
    <t>Status de uso</t>
  </si>
  <si>
    <t>Associado à produção dos produtos (ex. albumina, Fator VIII, etc)</t>
  </si>
  <si>
    <t>Marca</t>
  </si>
  <si>
    <t>Modelo</t>
  </si>
  <si>
    <t>Nº série</t>
  </si>
  <si>
    <t>Ano de instalação</t>
  </si>
  <si>
    <t>Capacidade</t>
  </si>
  <si>
    <t>Resolução</t>
  </si>
  <si>
    <t>Faixa de Medição</t>
  </si>
  <si>
    <t>Faixa de Operação</t>
  </si>
  <si>
    <t>Responsabilidade (ex. Hemobrás, JCI, etc)</t>
  </si>
  <si>
    <t>Periodicidade</t>
  </si>
  <si>
    <t>Observação</t>
  </si>
  <si>
    <t>Criticidade (Crítico ou Não Crítico)</t>
  </si>
  <si>
    <t>Subclassificação do status crítico</t>
  </si>
  <si>
    <t>Calibração (SIM ou NÃO)</t>
  </si>
  <si>
    <t>Intervalo de tolerância</t>
  </si>
  <si>
    <t>Critério de aceitação</t>
  </si>
  <si>
    <t>Pontos de Calibração</t>
  </si>
  <si>
    <t>Periodicidade de calibração</t>
  </si>
  <si>
    <t>Qualificação (SIM ou NÃO)</t>
  </si>
  <si>
    <t>Qualificação Inicial</t>
  </si>
  <si>
    <t>Status de qualificação</t>
  </si>
  <si>
    <t>Observação*</t>
  </si>
  <si>
    <t>Endress + Hauser</t>
  </si>
  <si>
    <t>PI</t>
  </si>
  <si>
    <t>F</t>
  </si>
  <si>
    <t>WIKA</t>
  </si>
  <si>
    <t>AT</t>
  </si>
  <si>
    <t>ORIGEM</t>
  </si>
  <si>
    <t>STATUS_TAG</t>
  </si>
  <si>
    <t>TAG_CHECK</t>
  </si>
  <si>
    <t>CALIB_CHECK</t>
  </si>
  <si>
    <t>TOTAL DE ATIVOS</t>
  </si>
  <si>
    <t>PENDÊNCIAS DE TAG</t>
  </si>
  <si>
    <t>INSTR. CALIBRÁVEIS</t>
  </si>
  <si>
    <t>Grupos de Instrumentos</t>
  </si>
  <si>
    <t>-80 °C/20 °C</t>
  </si>
  <si>
    <t>FA 410</t>
  </si>
  <si>
    <t>KIMO</t>
  </si>
  <si>
    <t>Sensor de ponto de orvalho - ANSI DN114,3</t>
  </si>
  <si>
    <t>7101-03 AT-0171</t>
  </si>
  <si>
    <t>B02 - SUBSOLO</t>
  </si>
  <si>
    <t>CA</t>
  </si>
  <si>
    <t>7101-03 F-0171</t>
  </si>
  <si>
    <t>7101-03 F-0271</t>
  </si>
  <si>
    <t>7101-03 F-0371</t>
  </si>
  <si>
    <t>7101-03 F-0471</t>
  </si>
  <si>
    <t>SARTORIUS</t>
  </si>
  <si>
    <t>Filtro de ar comprimido - OD DN76,2</t>
  </si>
  <si>
    <t>Medidor de vazão mássico térmico-ANSI-DN114,3</t>
  </si>
  <si>
    <t>FA</t>
  </si>
  <si>
    <t>7101-03 FA-0171</t>
  </si>
  <si>
    <t>Válvula de esfera manual 2 peças-ANSI-DN114,3</t>
  </si>
  <si>
    <t>7101-03 HV-0171</t>
  </si>
  <si>
    <t>7101-03 HV-0271</t>
  </si>
  <si>
    <t>7101-03 HV-0371</t>
  </si>
  <si>
    <t>7101-03 HV-0471</t>
  </si>
  <si>
    <t>7101-03 HV-0571</t>
  </si>
  <si>
    <t>7101-03 HV-0671</t>
  </si>
  <si>
    <t>7101-03 HV-0771</t>
  </si>
  <si>
    <t>7101-03 HV-0871</t>
  </si>
  <si>
    <t>7101-03 HV-0971</t>
  </si>
  <si>
    <t>7101-03 HV-1071</t>
  </si>
  <si>
    <t>Válvula de esfera manual 3 peças-ANSI-DN21,3</t>
  </si>
  <si>
    <t>Válvula de esfera manual 3 peças-ANSI-DN48,3</t>
  </si>
  <si>
    <t xml:space="preserve">Válvula de esfera manual - OD DN76,2 </t>
  </si>
  <si>
    <t>Válvula de esfera manual purga filtro-OD-DN25,4</t>
  </si>
  <si>
    <t>7101-03 HV-1671</t>
  </si>
  <si>
    <t>7101-03 HV-1771</t>
  </si>
  <si>
    <t>7101-03 HV-1871</t>
  </si>
  <si>
    <t>7101-03 HV-1971</t>
  </si>
  <si>
    <t>7101-03 HV-2071</t>
  </si>
  <si>
    <t>7101-03 HV-2171</t>
  </si>
  <si>
    <t>7101-03 HV-2271</t>
  </si>
  <si>
    <t>7101-03 HV-2371</t>
  </si>
  <si>
    <t>7101-03 HV-2471</t>
  </si>
  <si>
    <t>7101-03 HV-2571</t>
  </si>
  <si>
    <t>7101-03 HV-2671</t>
  </si>
  <si>
    <t>7101-03 HV-2871</t>
  </si>
  <si>
    <t>7101-03 HV-2771</t>
  </si>
  <si>
    <t>Válvula de esfera manual-OD DN25,4</t>
  </si>
  <si>
    <t>Válvula de esfera manual-OD DN63,5</t>
  </si>
  <si>
    <t>GEMU</t>
  </si>
  <si>
    <t>415IIT</t>
  </si>
  <si>
    <t>80D59C15TL</t>
  </si>
  <si>
    <t>25D80C15TL</t>
  </si>
  <si>
    <t>MS65030082</t>
  </si>
  <si>
    <t>MS65030084</t>
  </si>
  <si>
    <t>MS65030083</t>
  </si>
  <si>
    <t>MS65030085</t>
  </si>
  <si>
    <t>K2011802000</t>
  </si>
  <si>
    <t>Transmissor de pressão diferencial com display local-OD-DN76,1</t>
  </si>
  <si>
    <t>PDIT</t>
  </si>
  <si>
    <t>7101-03 PDIT-0171</t>
  </si>
  <si>
    <t>7101-03 PDIT-0271</t>
  </si>
  <si>
    <t>7101-03 PDIT-0371</t>
  </si>
  <si>
    <t>7101-03 PDIT-0471</t>
  </si>
  <si>
    <t>FMD78-ABA7FF1TF2BU+Z1</t>
  </si>
  <si>
    <t>7101-03 PI-0171</t>
  </si>
  <si>
    <t>7101-03 PI-0271</t>
  </si>
  <si>
    <t>7101-03 PI-0371</t>
  </si>
  <si>
    <t>7101-03 PI-0471</t>
  </si>
  <si>
    <t>7101-03 PI-0571</t>
  </si>
  <si>
    <t>K201670109D</t>
  </si>
  <si>
    <t>K201680109D</t>
  </si>
  <si>
    <t>K201690109D</t>
  </si>
  <si>
    <t>K2016A0109D</t>
  </si>
  <si>
    <t>110761N9</t>
  </si>
  <si>
    <t>1107BOI2</t>
  </si>
  <si>
    <t>1107BOI4</t>
  </si>
  <si>
    <t>1107BOI3</t>
  </si>
  <si>
    <t>1107BOI5</t>
  </si>
  <si>
    <t>Transmissor de Pressão-OD DN25,4</t>
  </si>
  <si>
    <t>PT</t>
  </si>
  <si>
    <t>7101-03 PT-0171</t>
  </si>
  <si>
    <t>PMP55 AA12QA1PGBTCJA4AJAZ1</t>
  </si>
  <si>
    <t>K200C80112A</t>
  </si>
  <si>
    <t>233.50 + 990.22</t>
  </si>
  <si>
    <t>0 a 10 bar</t>
  </si>
  <si>
    <t>0_100 mbar</t>
  </si>
  <si>
    <t xml:space="preserve">± 2.5 mbar </t>
  </si>
  <si>
    <t>±0.075 bar</t>
  </si>
  <si>
    <t>± 2,5 °C</t>
  </si>
  <si>
    <t>Indicador de pressão OD-DN25.4</t>
  </si>
  <si>
    <t>PAINEL DE INSTRUMENTOS CA e CAP B02 E B03</t>
  </si>
  <si>
    <t>1 bar</t>
  </si>
  <si>
    <t>7102-01 HV-0171</t>
  </si>
  <si>
    <t>7102-01 HV-0271</t>
  </si>
  <si>
    <t>7102-01 HV-0371</t>
  </si>
  <si>
    <t>7102-01 HV-0471</t>
  </si>
  <si>
    <t>7102-01 HV-0571</t>
  </si>
  <si>
    <t>7102-01 HV-0671</t>
  </si>
  <si>
    <t>7102-01 HV-0771</t>
  </si>
  <si>
    <t>7102-01 HV-0871</t>
  </si>
  <si>
    <t>7102-01 HV-0971</t>
  </si>
  <si>
    <t>7102-01 HV-1071</t>
  </si>
  <si>
    <t>7102-01 HV-1171</t>
  </si>
  <si>
    <t>7102-01 HV-1271</t>
  </si>
  <si>
    <t>7102-01 HV-1371</t>
  </si>
  <si>
    <t>7102-01 HV-1471</t>
  </si>
  <si>
    <t>7102-01 HV-1571</t>
  </si>
  <si>
    <t>7102-01 HV-1671</t>
  </si>
  <si>
    <t>7102-01 HV-1771</t>
  </si>
  <si>
    <t>7102-01 HV-1871</t>
  </si>
  <si>
    <t>7102-01 HV-1971</t>
  </si>
  <si>
    <t>7102-01 HV-2071</t>
  </si>
  <si>
    <t>7102-01 HV-2171</t>
  </si>
  <si>
    <t>7102-01 HV-2271</t>
  </si>
  <si>
    <t>7102-01 HV-2371</t>
  </si>
  <si>
    <t>7102-01 HV-2471</t>
  </si>
  <si>
    <t>7102-01 HV-2571</t>
  </si>
  <si>
    <t>7102-01 HV-2671</t>
  </si>
  <si>
    <t>7102-01 HV-2771</t>
  </si>
  <si>
    <t>7102-01 HV-2871</t>
  </si>
  <si>
    <t>7102-01 HV-2971</t>
  </si>
  <si>
    <t>7102-01 HV-3071</t>
  </si>
  <si>
    <t>7102-01 HV-3171</t>
  </si>
  <si>
    <t>7102-01 HV-3271</t>
  </si>
  <si>
    <t>7102-01 HV-3371</t>
  </si>
  <si>
    <t>7102-01 HV-3471</t>
  </si>
  <si>
    <t>7102-01 HV-3571</t>
  </si>
  <si>
    <t>7102-01 HV-3671</t>
  </si>
  <si>
    <t>7102-01 HV-3771</t>
  </si>
  <si>
    <t>7102-01 HV-3871</t>
  </si>
  <si>
    <t>7102-01 HV-3971</t>
  </si>
  <si>
    <t>7102-01 HV-4071</t>
  </si>
  <si>
    <t>7102-01 HV-4171</t>
  </si>
  <si>
    <t>7102-01 HV-4271</t>
  </si>
  <si>
    <t>7102-01 HV-4371</t>
  </si>
  <si>
    <t>7102-01 HV-4471</t>
  </si>
  <si>
    <t>7102-01 HV-4571</t>
  </si>
  <si>
    <t>7102-01 HV-4671</t>
  </si>
  <si>
    <t>7102-01 HV-4771</t>
  </si>
  <si>
    <t>7102-01 HV-4871</t>
  </si>
  <si>
    <t>7102-01 HV-4971</t>
  </si>
  <si>
    <t>7102-01 HV-5071</t>
  </si>
  <si>
    <t>7102-01 HV-5171</t>
  </si>
  <si>
    <t>7102-01 HV-5271</t>
  </si>
  <si>
    <t>7102-01 HV-5371</t>
  </si>
  <si>
    <t>7102-01 HV-5471</t>
  </si>
  <si>
    <t>7102-01 HV-5571</t>
  </si>
  <si>
    <t>7102-01 HV-5671</t>
  </si>
  <si>
    <t>7102-01 HV-5771</t>
  </si>
  <si>
    <t>7102-01 HV-5871</t>
  </si>
  <si>
    <t>7102-01 HV-5971</t>
  </si>
  <si>
    <t>7102-01 HV-6071</t>
  </si>
  <si>
    <t>7102-01 HV-6171</t>
  </si>
  <si>
    <t>7102-01 HV-6271</t>
  </si>
  <si>
    <t>7102-01 HV-6371</t>
  </si>
  <si>
    <t>7102-01 HV-6471</t>
  </si>
  <si>
    <t>7102-01 HV-6571</t>
  </si>
  <si>
    <t>7102-01 HV-6671</t>
  </si>
  <si>
    <t>7102-01 HV-6771</t>
  </si>
  <si>
    <t>7102-01 HV-6871</t>
  </si>
  <si>
    <t>7102-01 HV-6971</t>
  </si>
  <si>
    <t>7102-01 HV-7071</t>
  </si>
  <si>
    <t>7102-01 HV-7171</t>
  </si>
  <si>
    <t>7102-01 HV-7271</t>
  </si>
  <si>
    <t>7102-01 HV-7371</t>
  </si>
  <si>
    <t>7102-01 HV-7471</t>
  </si>
  <si>
    <t>7102-01 HV-7571</t>
  </si>
  <si>
    <t>7102-01 HV-7671</t>
  </si>
  <si>
    <t>7102-01 HV-7771</t>
  </si>
  <si>
    <t>7102-01 HV-7871</t>
  </si>
  <si>
    <t>7102-01 HV-7971</t>
  </si>
  <si>
    <t>7102-01 HV-8071</t>
  </si>
  <si>
    <t>7102-01 HV-8171</t>
  </si>
  <si>
    <t>7102-01 HV-8271</t>
  </si>
  <si>
    <t>7102-01 HV-8371</t>
  </si>
  <si>
    <t>7102-01 HV-8471</t>
  </si>
  <si>
    <t>7102-01 HV-8571</t>
  </si>
  <si>
    <t>7102-01 HV-8671</t>
  </si>
  <si>
    <t>7102-01 HV-8771</t>
  </si>
  <si>
    <t>7102-01 HV-8871</t>
  </si>
  <si>
    <t>7102-01 HV-8971</t>
  </si>
  <si>
    <t>7102-01 HV-9071</t>
  </si>
  <si>
    <t>7102-01 HV-9271</t>
  </si>
  <si>
    <t>7102-01 HV-9371</t>
  </si>
  <si>
    <t>7102-01 HV-9471</t>
  </si>
  <si>
    <t>7102-01 HV-9571</t>
  </si>
  <si>
    <t>7102-01 HV-9671</t>
  </si>
  <si>
    <t>7102-01 HV-9771</t>
  </si>
  <si>
    <t>7102-01 HV-9871</t>
  </si>
  <si>
    <t>7102-01 HV-9971</t>
  </si>
  <si>
    <t>7102-01 HV-10071</t>
  </si>
  <si>
    <t>7102-01 HV-10171</t>
  </si>
  <si>
    <t>7102-01 HV-10271</t>
  </si>
  <si>
    <t>7102-01 HV-10371</t>
  </si>
  <si>
    <t>7102-01 HV-10471</t>
  </si>
  <si>
    <t>7102-01 HV-10571</t>
  </si>
  <si>
    <t>7102-01 HV-10671</t>
  </si>
  <si>
    <t>7102-01 HV-10771</t>
  </si>
  <si>
    <t>7102-01 HV-10871</t>
  </si>
  <si>
    <t>7102-01 HV-10971</t>
  </si>
  <si>
    <t>7102-01 HV-11071</t>
  </si>
  <si>
    <t>7102-01 HV-11171</t>
  </si>
  <si>
    <t>7102-01 HV-11271</t>
  </si>
  <si>
    <t>7102-01 HV-11371</t>
  </si>
  <si>
    <t>7102-01 HV-11471</t>
  </si>
  <si>
    <t>7102-01 HV-11571</t>
  </si>
  <si>
    <t>7102-01 HV-11671</t>
  </si>
  <si>
    <t>7102-01 HV-11771</t>
  </si>
  <si>
    <t>7102-01 HV-11871</t>
  </si>
  <si>
    <t>7102-01 HV-11971</t>
  </si>
  <si>
    <t>7102-01 HV-12071</t>
  </si>
  <si>
    <t>7102-01 HV-12171</t>
  </si>
  <si>
    <t>7102-01 HV-12271</t>
  </si>
  <si>
    <t>7102-01 HV-12371</t>
  </si>
  <si>
    <t>7102-01 HV-12471</t>
  </si>
  <si>
    <t>7102-01 HV-12571</t>
  </si>
  <si>
    <t>7102-01 HV-12671</t>
  </si>
  <si>
    <t>7102-01 HV-12771</t>
  </si>
  <si>
    <t>7102-01 HV-12871</t>
  </si>
  <si>
    <t>Válvula de esfera manual - OD-DN76,2</t>
  </si>
  <si>
    <t>Válvula de esfera manual - OD-DN12,7</t>
  </si>
  <si>
    <t>Válvula de esfera manual - OD-DN19,05</t>
  </si>
  <si>
    <t>Válvula de esfera manual - OD-DN25,4</t>
  </si>
  <si>
    <t>Válvula de esfera manual - ASME BPE-DN15</t>
  </si>
  <si>
    <t>7102-01 HV-26271</t>
  </si>
  <si>
    <t>7102-01 HV-26071</t>
  </si>
  <si>
    <t>7102-01 HV-26371</t>
  </si>
  <si>
    <t>7102-01 HV-26471</t>
  </si>
  <si>
    <t>7102-01 HV-26571</t>
  </si>
  <si>
    <t>7102-01 HV-26671</t>
  </si>
  <si>
    <t>7102-01 HV-26771</t>
  </si>
  <si>
    <t>7102-01 HV-26871</t>
  </si>
  <si>
    <t>7102-01 HV-26971</t>
  </si>
  <si>
    <t>7102-01 HV-27071</t>
  </si>
  <si>
    <t>7102-01 HV-27171</t>
  </si>
  <si>
    <t>7102-01 HV-27271</t>
  </si>
  <si>
    <t>7102-01 HV-27371</t>
  </si>
  <si>
    <t>Válvula de esfera manual - OD-DN38,1</t>
  </si>
  <si>
    <t>4900-LE-7101 (CA)</t>
  </si>
  <si>
    <t>4900-LE-7102 (CA)</t>
  </si>
  <si>
    <t>740 80D59C15TL</t>
  </si>
  <si>
    <t>740 15D59C15TL</t>
  </si>
  <si>
    <t>740 20D59C15TL</t>
  </si>
  <si>
    <t>740 25D59C15TL</t>
  </si>
  <si>
    <t>740 40D59C15TL</t>
  </si>
  <si>
    <t>7103-01 HV-0171</t>
  </si>
  <si>
    <t>7103-01 HV-0271</t>
  </si>
  <si>
    <t>7103-01 HV-0371</t>
  </si>
  <si>
    <t>7103-01 HV-0571</t>
  </si>
  <si>
    <t>7103-01 HV-0671</t>
  </si>
  <si>
    <t>7103-01 HV-0771</t>
  </si>
  <si>
    <t>7103-01 HV-0871</t>
  </si>
  <si>
    <t>7103-01 HV-0971</t>
  </si>
  <si>
    <t>7103-01 HV-1171</t>
  </si>
  <si>
    <t>7103-01 HV-1271</t>
  </si>
  <si>
    <t>7103-01 HV-1471</t>
  </si>
  <si>
    <t>7103-01 HV-1571</t>
  </si>
  <si>
    <t>7103-01 HV-1671</t>
  </si>
  <si>
    <t>7103-01 HV-1871</t>
  </si>
  <si>
    <t>7103-01 HV-1971</t>
  </si>
  <si>
    <t>7103-01 HV-2071</t>
  </si>
  <si>
    <t>7103-01 HV-2371</t>
  </si>
  <si>
    <t>7103-01 HV-2771</t>
  </si>
  <si>
    <t>7103-01 HV-2971</t>
  </si>
  <si>
    <t>7103-01 HV-3071</t>
  </si>
  <si>
    <t>7103-01 HV-3271</t>
  </si>
  <si>
    <t>7103-01 HV-3371</t>
  </si>
  <si>
    <t>7103-01 HV-3471</t>
  </si>
  <si>
    <t>7103-01 HV-3571</t>
  </si>
  <si>
    <t>7103-01 HV-3771</t>
  </si>
  <si>
    <t>7103-01 HV-3871</t>
  </si>
  <si>
    <t>7103-01 HV-0471</t>
  </si>
  <si>
    <t>7103-01 HV-4071</t>
  </si>
  <si>
    <t>7103-01 HV-4371</t>
  </si>
  <si>
    <t>7103-01 HV-4471</t>
  </si>
  <si>
    <t>7103-01 HV-4671</t>
  </si>
  <si>
    <t>7103-01 HV-7371</t>
  </si>
  <si>
    <t>7103-01 HV-7671</t>
  </si>
  <si>
    <t>7103-01 HV-8071</t>
  </si>
  <si>
    <t>7103-01 HV-8171</t>
  </si>
  <si>
    <t>7103-01 HV-8471</t>
  </si>
  <si>
    <t>7103-01 HV-8571</t>
  </si>
  <si>
    <t>7103-01 HV-8871</t>
  </si>
  <si>
    <t>7103-01 HV-9471</t>
  </si>
  <si>
    <t>7103-01 HV-1071</t>
  </si>
  <si>
    <t>7103-01 HV-10071</t>
  </si>
  <si>
    <t>7103-01 HV-10171</t>
  </si>
  <si>
    <t>7103-01 HV-10471</t>
  </si>
  <si>
    <t>7103-01 HV-10771</t>
  </si>
  <si>
    <t>7103-01 HV-11071</t>
  </si>
  <si>
    <t>7103-01 HV-11271</t>
  </si>
  <si>
    <t>7103-01 HV-11371</t>
  </si>
  <si>
    <t>7103-01 HV-11571</t>
  </si>
  <si>
    <t>7103-01 HV-11671</t>
  </si>
  <si>
    <t>7103-01 HV-11971</t>
  </si>
  <si>
    <t>7103-01 HV-12271</t>
  </si>
  <si>
    <t>7103-01 HV-12471</t>
  </si>
  <si>
    <t>7103-01 HV-12571</t>
  </si>
  <si>
    <t>7103-01 HV-12671</t>
  </si>
  <si>
    <t>7103-01 HV-12971</t>
  </si>
  <si>
    <t>7103-01 HV-1371</t>
  </si>
  <si>
    <t>7103-01 HV-13171</t>
  </si>
  <si>
    <t>7103-01 HV-13271</t>
  </si>
  <si>
    <t>7103-01 HV-13471</t>
  </si>
  <si>
    <t>7103-01 HV-13571</t>
  </si>
  <si>
    <t>7103-01 HV-13771</t>
  </si>
  <si>
    <t>7103-01 HV-13871</t>
  </si>
  <si>
    <t>7103-01 HV-14071</t>
  </si>
  <si>
    <t>7103-01 HV-14271</t>
  </si>
  <si>
    <t>7103-01 HV-14371</t>
  </si>
  <si>
    <t>7103-01 HV-14671</t>
  </si>
  <si>
    <t>7103-01 HV-14771</t>
  </si>
  <si>
    <t>7103-01 HV-14971</t>
  </si>
  <si>
    <t>7103-01 HV-15071</t>
  </si>
  <si>
    <t>7103-01 HV-15171</t>
  </si>
  <si>
    <t>7103-01 HV-15471</t>
  </si>
  <si>
    <t>7103-01 HV-15771</t>
  </si>
  <si>
    <t>7103-01 HV-15971</t>
  </si>
  <si>
    <t>7103-01 HV-16071</t>
  </si>
  <si>
    <t>7103-01 HV-16371</t>
  </si>
  <si>
    <t>7103-01 HV-16471</t>
  </si>
  <si>
    <t>7103-01 HV-16571</t>
  </si>
  <si>
    <t>7103-01 HV-16771</t>
  </si>
  <si>
    <t>7103-01 HV-16871</t>
  </si>
  <si>
    <t>7103-01 HV-16971</t>
  </si>
  <si>
    <t>7103-01 HV-1771</t>
  </si>
  <si>
    <t>7103-01 HV-17071</t>
  </si>
  <si>
    <t>7103-01 HV-17371</t>
  </si>
  <si>
    <t>7103-01 HV-17671</t>
  </si>
  <si>
    <t>7103-01 HV-17871</t>
  </si>
  <si>
    <t>7103-01 HV-17971</t>
  </si>
  <si>
    <t>7103-01 HV-18071</t>
  </si>
  <si>
    <t>7103-01 HV-18271</t>
  </si>
  <si>
    <t>7103-01 HV-18371</t>
  </si>
  <si>
    <t>7103-01 HV-18571</t>
  </si>
  <si>
    <t>7103-01 HV-18671</t>
  </si>
  <si>
    <t>7103-01 HV-18971</t>
  </si>
  <si>
    <t>7103-01 HV-19271</t>
  </si>
  <si>
    <t>7103-01 HV-19471</t>
  </si>
  <si>
    <t>7103-01 HV-19571</t>
  </si>
  <si>
    <t>7103-01 HV-19771</t>
  </si>
  <si>
    <t>7103-01 HV-19871</t>
  </si>
  <si>
    <t>7103-01 HV-20071</t>
  </si>
  <si>
    <t>7103-01 HV-20171</t>
  </si>
  <si>
    <t>7103-01 HV-20271</t>
  </si>
  <si>
    <t>7103-01 HV-20371</t>
  </si>
  <si>
    <t>7103-01 HV-20671</t>
  </si>
  <si>
    <t>7103-01 HV-20871</t>
  </si>
  <si>
    <t>7103-01 HV-20971</t>
  </si>
  <si>
    <t>7103-01 HV-21171</t>
  </si>
  <si>
    <t>7103-01 HV-21271</t>
  </si>
  <si>
    <t>7103-01 HV-21571</t>
  </si>
  <si>
    <t>7103-01 HV-21871</t>
  </si>
  <si>
    <t>7103-01 HV-2271</t>
  </si>
  <si>
    <t>7103-01 HV-22371</t>
  </si>
  <si>
    <t>7103-01 HV-22471</t>
  </si>
  <si>
    <t>7103-01 HV-22671</t>
  </si>
  <si>
    <t>7103-01 HV-22771</t>
  </si>
  <si>
    <t>7103-01 HV-22971</t>
  </si>
  <si>
    <t>7103-01 HV-23071</t>
  </si>
  <si>
    <t>7103-01 HV-23271</t>
  </si>
  <si>
    <t>7103-01 HV-23471</t>
  </si>
  <si>
    <t>7103-01 HV-23671</t>
  </si>
  <si>
    <t>7103-01 HV-23771</t>
  </si>
  <si>
    <t>7103-01 HV-24071</t>
  </si>
  <si>
    <t>7103-01 HV-24371</t>
  </si>
  <si>
    <t>7103-01 HV-24571</t>
  </si>
  <si>
    <t>7103-01 HV-24671</t>
  </si>
  <si>
    <t>7103-01 HV-24971</t>
  </si>
  <si>
    <t>7103-01 HV-2571</t>
  </si>
  <si>
    <t>7103-01 HV-25271</t>
  </si>
  <si>
    <t>7103-01 HV-25471</t>
  </si>
  <si>
    <t>7103-01 HV-25571</t>
  </si>
  <si>
    <t>7103-01 HV-25671</t>
  </si>
  <si>
    <t>7103-01 HV-25771</t>
  </si>
  <si>
    <t>7103-01 HV-25871</t>
  </si>
  <si>
    <t>7103-01 HV-25971</t>
  </si>
  <si>
    <t>7103-01 HV-2671</t>
  </si>
  <si>
    <t>7103-01 HV-26071</t>
  </si>
  <si>
    <t>7103-01 HV-26171</t>
  </si>
  <si>
    <t>7103-01 HV-26271</t>
  </si>
  <si>
    <t>7103-01 HV-26371</t>
  </si>
  <si>
    <t>7103-01 HV-26471</t>
  </si>
  <si>
    <t>7103-01 HV-26571</t>
  </si>
  <si>
    <t>7103-01 HV-26671</t>
  </si>
  <si>
    <t>7103-01 HV-26871</t>
  </si>
  <si>
    <t>7103-01 HV-27071</t>
  </si>
  <si>
    <t>7103-01 HV-27171</t>
  </si>
  <si>
    <t>7103-01 HV-27271</t>
  </si>
  <si>
    <t>7103-01 HV-27371</t>
  </si>
  <si>
    <t>7103-01 HV-27471</t>
  </si>
  <si>
    <t>7103-01 HV-27571</t>
  </si>
  <si>
    <t>7103-01 HV-27671</t>
  </si>
  <si>
    <t>7103-01 HV-27771</t>
  </si>
  <si>
    <t>7103-01 HV-27871</t>
  </si>
  <si>
    <t>7103-01 HV-2871</t>
  </si>
  <si>
    <t>7103-01 HV-28071</t>
  </si>
  <si>
    <t>7103-01 HV-28171</t>
  </si>
  <si>
    <t>7103-01 HV-28271</t>
  </si>
  <si>
    <t>7103-01 HV-30071</t>
  </si>
  <si>
    <t>7103-01 HV-3171</t>
  </si>
  <si>
    <t>7103-01 HV-3671</t>
  </si>
  <si>
    <t>7103-01 HV-3971</t>
  </si>
  <si>
    <t>7103-01 HV-4171</t>
  </si>
  <si>
    <t>7103-01 HV-4771</t>
  </si>
  <si>
    <t>7103-01 HV-4971</t>
  </si>
  <si>
    <t>7103-01 HV-5171</t>
  </si>
  <si>
    <t>7103-01 HV-5371</t>
  </si>
  <si>
    <t>7103-01 HV-5571</t>
  </si>
  <si>
    <t>7103-01 HV-5771</t>
  </si>
  <si>
    <t>7103-01 HV-5971</t>
  </si>
  <si>
    <t>7103-01 HV-6171</t>
  </si>
  <si>
    <t>7103-01 HV-6371</t>
  </si>
  <si>
    <t>7103-01 HV-6571</t>
  </si>
  <si>
    <t>7103-01 HV-6771</t>
  </si>
  <si>
    <t>7103-01 HV-6971</t>
  </si>
  <si>
    <t>7103-01 HV-7171</t>
  </si>
  <si>
    <t>7103-01 HV-7471</t>
  </si>
  <si>
    <t>7103-01 HV-7871</t>
  </si>
  <si>
    <t>7103-01 HV-8271</t>
  </si>
  <si>
    <t>7103-01 HV-8671</t>
  </si>
  <si>
    <t>7103-01 HV-8971</t>
  </si>
  <si>
    <t>7103-01 HV-9271</t>
  </si>
  <si>
    <t>7103-01 HV-9571</t>
  </si>
  <si>
    <t>7103-01 HV-9871</t>
  </si>
  <si>
    <t>7103-01 HV-30171</t>
  </si>
  <si>
    <t>7103-01 HV-30271</t>
  </si>
  <si>
    <t>7103-01 HV-30371</t>
  </si>
  <si>
    <t>7103-01 HV-30471</t>
  </si>
  <si>
    <t>7103-01 HV-30571</t>
  </si>
  <si>
    <t>7103-01 HV-30671</t>
  </si>
  <si>
    <t>Válvula de esfera manual - OD-DN50,8</t>
  </si>
  <si>
    <t>Válvula de esfera manual - ASME BPE-DN20</t>
  </si>
  <si>
    <t>Válvula de esfera manual - ASME BPE-DN25</t>
  </si>
  <si>
    <t>Filtro de ar comprimido (carcaça de 5") ASME BPE-DN40</t>
  </si>
  <si>
    <t>8PJ17825300078LN + cartucho 5182507T0</t>
  </si>
  <si>
    <t>MS63050033</t>
  </si>
  <si>
    <t>MS63050069</t>
  </si>
  <si>
    <t>MS63050042</t>
  </si>
  <si>
    <t>MS63050030</t>
  </si>
  <si>
    <t>MS63050051</t>
  </si>
  <si>
    <t>MS63050028</t>
  </si>
  <si>
    <t>MS63050023</t>
  </si>
  <si>
    <t>MS63050093</t>
  </si>
  <si>
    <t>MS63050020</t>
  </si>
  <si>
    <t>MS63050025</t>
  </si>
  <si>
    <t>MS63050016</t>
  </si>
  <si>
    <t>MS63050019</t>
  </si>
  <si>
    <t>MS63050017</t>
  </si>
  <si>
    <t>MS63050021</t>
  </si>
  <si>
    <t>MS63050029</t>
  </si>
  <si>
    <t>MS63050024</t>
  </si>
  <si>
    <t>MS63050100</t>
  </si>
  <si>
    <t>MS63050026</t>
  </si>
  <si>
    <t>MS63050109</t>
  </si>
  <si>
    <t>Qualificação</t>
  </si>
  <si>
    <t>Ref:601 15D80401700TS 1559 1502</t>
  </si>
  <si>
    <t>Válvula de diafragma de 2 vias manual-OD-12,7</t>
  </si>
  <si>
    <t>Válvula de diafragma de 2 vias manual-OD-19,05</t>
  </si>
  <si>
    <t>Ref:612 20D88401701TS 2059 1502</t>
  </si>
  <si>
    <t>Ref:PHE22C38820B804</t>
  </si>
  <si>
    <t>Ref:PHE32C180820B811</t>
  </si>
  <si>
    <t>Ref:PHE26C38840B802</t>
  </si>
  <si>
    <t>Ref:PHE32C280820B811</t>
  </si>
  <si>
    <t>Ref:PHE32C080830B811</t>
  </si>
  <si>
    <t>Ref:PH16HC1GNBACC983</t>
  </si>
  <si>
    <t>EMERSON</t>
  </si>
  <si>
    <t>PCV</t>
  </si>
  <si>
    <t>Regulador de ar comprimido - diâmetro externo 12,7 - abraçadeira 50,5</t>
  </si>
  <si>
    <t>Manômetro - Diâmetro externo - 38,1 mm, extensão - 50,5 mm.</t>
  </si>
  <si>
    <t>Ref:232.50 + 990.22</t>
  </si>
  <si>
    <t>0-10 bar</t>
  </si>
  <si>
    <t>1105HRID</t>
  </si>
  <si>
    <t>1105HRJU</t>
  </si>
  <si>
    <t>1105DIE0</t>
  </si>
  <si>
    <t>1105HRJC</t>
  </si>
  <si>
    <t>1105HRKF</t>
  </si>
  <si>
    <t>1105HRI3</t>
  </si>
  <si>
    <t>1105DIEI</t>
  </si>
  <si>
    <t>1105HRJW</t>
  </si>
  <si>
    <t>1105HRKJ</t>
  </si>
  <si>
    <t>1105HRI0</t>
  </si>
  <si>
    <t>1105HRJ8</t>
  </si>
  <si>
    <t>1105HRI6</t>
  </si>
  <si>
    <t>1105HRKI</t>
  </si>
  <si>
    <t>1105HRI5</t>
  </si>
  <si>
    <t>1105HRIY</t>
  </si>
  <si>
    <t>1105HRIP</t>
  </si>
  <si>
    <t>1105HRIB</t>
  </si>
  <si>
    <t>1105HRJD</t>
  </si>
  <si>
    <t>1105HRKN</t>
  </si>
  <si>
    <t>1105DIEA</t>
  </si>
  <si>
    <t>1105HRIJ</t>
  </si>
  <si>
    <t>1105DIE2</t>
  </si>
  <si>
    <t>1105HRJY</t>
  </si>
  <si>
    <t>1105DIE9</t>
  </si>
  <si>
    <t>1105HRKD</t>
  </si>
  <si>
    <t>1105HRI2</t>
  </si>
  <si>
    <t>1105HRIX</t>
  </si>
  <si>
    <t>1105DIEM</t>
  </si>
  <si>
    <t>1105HRKC</t>
  </si>
  <si>
    <t>1105HRKT</t>
  </si>
  <si>
    <t>1105HRK9</t>
  </si>
  <si>
    <t>1105HRIA</t>
  </si>
  <si>
    <t>1105HRIW</t>
  </si>
  <si>
    <t>1105DIDX</t>
  </si>
  <si>
    <t>1105HRK2</t>
  </si>
  <si>
    <t>1105DIE1</t>
  </si>
  <si>
    <t>1105HRJI</t>
  </si>
  <si>
    <t>1105DIEL</t>
  </si>
  <si>
    <t>1105HRII</t>
  </si>
  <si>
    <t>1105DIDB</t>
  </si>
  <si>
    <t>1105HRIK</t>
  </si>
  <si>
    <t>1105HWG2</t>
  </si>
  <si>
    <t>1105HRJ7</t>
  </si>
  <si>
    <t>1105HRKA</t>
  </si>
  <si>
    <t>1105HRI9</t>
  </si>
  <si>
    <t>1105HRIF</t>
  </si>
  <si>
    <t>1105H1X5</t>
  </si>
  <si>
    <t>1105HRJO</t>
  </si>
  <si>
    <t>1105HRKS</t>
  </si>
  <si>
    <t>1105HWG1</t>
  </si>
  <si>
    <t>1105HRI8</t>
  </si>
  <si>
    <t>B03 - SUBSOLO</t>
  </si>
  <si>
    <t>Válvula de segurança - DE braçadeira 50,5</t>
  </si>
  <si>
    <t>Válvula de segurança - DE braçadeira 50,6</t>
  </si>
  <si>
    <t>Válvula de segurança - DE braçadeira 50,7</t>
  </si>
  <si>
    <t>Válvula de segurança - DE braçadeira 50,8</t>
  </si>
  <si>
    <t>Válvula de segurança - DE braçadeira 50,9</t>
  </si>
  <si>
    <t>Válvula de segurança - DE braçadeira 50,10</t>
  </si>
  <si>
    <t>Válvula de segurança - DE braçadeira 50,11</t>
  </si>
  <si>
    <t>Válvula de segurança - DE braçadeira 50,12</t>
  </si>
  <si>
    <t>Válvula de segurança - DE braçadeira 50,13</t>
  </si>
  <si>
    <t>Válvula de segurança - DE braçadeira 50,14</t>
  </si>
  <si>
    <t>Válvula de segurança - DE braçadeira 50,15</t>
  </si>
  <si>
    <t>PSV</t>
  </si>
  <si>
    <t>POLIFLUX</t>
  </si>
  <si>
    <t>Ref:S25-C38-ASTM</t>
  </si>
  <si>
    <t>Ref:S14-CL25-ASTM</t>
  </si>
  <si>
    <t>Ref:S21-CL25ASTM</t>
  </si>
  <si>
    <t>Ref:S32-CL38-ASTM</t>
  </si>
  <si>
    <t>315A</t>
  </si>
  <si>
    <t>320X</t>
  </si>
  <si>
    <t>329X</t>
  </si>
  <si>
    <t>742Z</t>
  </si>
  <si>
    <t>745Z</t>
  </si>
  <si>
    <t>746Z</t>
  </si>
  <si>
    <t>323X</t>
  </si>
  <si>
    <t>355A</t>
  </si>
  <si>
    <t>359A</t>
  </si>
  <si>
    <t>354A</t>
  </si>
  <si>
    <t>732Z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</si>
</sst>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name val="Times New Roman"/>
      <family val="1"/>
    </font>
    <font>
      <b/>
      <sz val="11"/>
      <color rgb="FFFFFFFF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Protection="1"/>
    <xf numFmtId="0" fontId="0" fillId="0" borderId="0" xfId="0" applyProtection="1"/>
    <xf numFmtId="0" fontId="2" fillId="6" borderId="2" xfId="0" applyFont="1" applyFill="1" applyBorder="1" applyAlignment="1" applyProtection="1">
      <alignment horizontal="center" vertical="center"/>
    </xf>
    <xf numFmtId="0" fontId="2" fillId="7" borderId="2" xfId="0" applyFont="1" applyFill="1" applyBorder="1" applyAlignment="1" applyProtection="1">
      <alignment horizontal="center" vertical="center"/>
    </xf>
    <xf numFmtId="0" fontId="2" fillId="8" borderId="2" xfId="0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center" vertical="center"/>
    </xf>
    <xf numFmtId="0" fontId="4" fillId="7" borderId="2" xfId="0" applyFont="1" applyFill="1" applyBorder="1" applyAlignment="1" applyProtection="1">
      <alignment horizontal="center" vertical="center"/>
    </xf>
    <xf numFmtId="0" fontId="4" fillId="8" borderId="2" xfId="0" applyFont="1" applyFill="1" applyBorder="1" applyAlignment="1" applyProtection="1">
      <alignment horizontal="center" vertical="center"/>
    </xf>
    <xf numFmtId="0" fontId="2" fillId="5" borderId="0" xfId="0" applyFont="1" applyFill="1" applyAlignment="1" applyProtection="1">
      <alignment horizont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center"/>
    </xf>
  </cellXfs>
  <cellStyles count="1">
    <cellStyle name="Normal" xfId="0" builtinId="0"/>
  </cellStyles>
  <dxfs count="35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003366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</xdr:colOff>
      <xdr:row>11</xdr:row>
      <xdr:rowOff>161925</xdr:rowOff>
    </xdr:from>
    <xdr:to>
      <xdr:col>1</xdr:col>
      <xdr:colOff>1847850</xdr:colOff>
      <xdr:row>25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istema">
              <a:extLst>
                <a:ext uri="{FF2B5EF4-FFF2-40B4-BE49-F238E27FC236}">
                  <a16:creationId xmlns:a16="http://schemas.microsoft.com/office/drawing/2014/main" id="{B4A2F444-BE93-4ADE-A862-611FDDA77224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ste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2667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19050</xdr:colOff>
      <xdr:row>6</xdr:row>
      <xdr:rowOff>66675</xdr:rowOff>
    </xdr:from>
    <xdr:to>
      <xdr:col>1</xdr:col>
      <xdr:colOff>1847850</xdr:colOff>
      <xdr:row>11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Local">
              <a:extLst>
                <a:ext uri="{FF2B5EF4-FFF2-40B4-BE49-F238E27FC236}">
                  <a16:creationId xmlns:a16="http://schemas.microsoft.com/office/drawing/2014/main" id="{DD0738DB-3E38-45C1-8DB2-6DACC764AC17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c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1619250"/>
              <a:ext cx="1828800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1895474</xdr:colOff>
      <xdr:row>6</xdr:row>
      <xdr:rowOff>76200</xdr:rowOff>
    </xdr:from>
    <xdr:to>
      <xdr:col>1</xdr:col>
      <xdr:colOff>4114799</xdr:colOff>
      <xdr:row>11</xdr:row>
      <xdr:rowOff>85725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alibração (SIM ou NÃO)">
              <a:extLst>
                <a:ext uri="{FF2B5EF4-FFF2-40B4-BE49-F238E27FC236}">
                  <a16:creationId xmlns:a16="http://schemas.microsoft.com/office/drawing/2014/main" id="{3C8859E7-1E4B-4BA9-9544-8C53E57D1CC6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libração (SIM ou NÃ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05074" y="1628775"/>
              <a:ext cx="22193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>
    <xdr:from>
      <xdr:col>4</xdr:col>
      <xdr:colOff>28576</xdr:colOff>
      <xdr:row>1</xdr:row>
      <xdr:rowOff>123824</xdr:rowOff>
    </xdr:from>
    <xdr:to>
      <xdr:col>5</xdr:col>
      <xdr:colOff>314326</xdr:colOff>
      <xdr:row>2</xdr:row>
      <xdr:rowOff>95249</xdr:rowOff>
    </xdr:to>
    <xdr:sp macro="[0]!Atualizar_Dados_Sem_Quebr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1DA0E60-528F-46E9-BAB8-469D3174BF5B}"/>
            </a:ext>
          </a:extLst>
        </xdr:cNvPr>
        <xdr:cNvSpPr/>
      </xdr:nvSpPr>
      <xdr:spPr>
        <a:xfrm>
          <a:off x="9134476" y="314324"/>
          <a:ext cx="1581150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/>
            <a:t>🔄 ATUALIZAR DADOS</a:t>
          </a:r>
          <a:endParaRPr lang="en-US" sz="1100"/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stema" xr10:uid="{5250998D-349C-446C-9A9F-F80BB0BD805F}" sourceName="Grupos de Instrumentos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ocal" xr10:uid="{A786635F-5B60-4D90-9000-8585E76C1A7C}" sourceName="Local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libração__SIM_ou_NÃO" xr10:uid="{5C343828-EEF6-4FF3-B813-DA60FCF70531}" sourceName="Calibração (SIM ou NÃO)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stema" xr10:uid="{F7C3F8B0-5994-4BEF-9AC9-ED7BA4F2D911}" cache="SegmentaçãodeDados_Sistema" caption="Grupos de Instrumentos" lockedPosition="1" rowHeight="241300"/>
  <slicer name="Local" xr10:uid="{CC72D724-DFCA-4D67-A967-BA620A6CE251}" cache="SegmentaçãodeDados_Local" caption="Local" lockedPosition="1" rowHeight="241300"/>
  <slicer name="Calibração (SIM ou NÃO)" xr10:uid="{A921E0BD-CA4F-4B7B-AAC8-E8AA4DEBC33F}" cache="SegmentaçãodeDados_Calibração__SIM_ou_NÃO" caption="Calibração (SIM ou NÃO)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F5ECF9-AB81-4366-A0B4-051D2E7C19BB}" name="TabelaMestre" displayName="TabelaMestre" ref="A1:AG180" totalsRowShown="0" headerRowDxfId="34" dataDxfId="33">
  <autoFilter ref="A1:AG180" xr:uid="{2C487E86-BA8E-4323-A8B7-9B94B3A70DFC}"/>
  <tableColumns count="33">
    <tableColumn id="1" xr3:uid="{47FE1593-C75F-4EAF-9CB0-594D932A94D1}" name="Grupos de Instrumentos" dataDxfId="32"/>
    <tableColumn id="2" xr3:uid="{E1047268-2A84-44CA-8EF6-A13D1C10957E}" name="TAG Hemobrás" dataDxfId="31"/>
    <tableColumn id="3" xr3:uid="{CADD42C3-C47E-4163-B0F4-7259299F86BB}" name="Local" dataDxfId="30"/>
    <tableColumn id="4" xr3:uid="{460CC2A6-AB6D-4F16-991F-CB3CBDC766A8}" name="Sala/Sistema" dataDxfId="29"/>
    <tableColumn id="5" xr3:uid="{E55EA5E8-B21D-4EE4-9D3D-FEDB6174F3B2}" name="Descrição dos Equipamentos" dataDxfId="28"/>
    <tableColumn id="6" xr3:uid="{A82FC00F-4E96-49CE-9925-E85E4796E645}" name="Status de uso" dataDxfId="27"/>
    <tableColumn id="7" xr3:uid="{25121372-0093-4BDA-8B42-33550861F95F}" name="Associado à produção dos produtos (ex. albumina, Fator VIII, etc)" dataDxfId="26"/>
    <tableColumn id="8" xr3:uid="{048CD8CC-C0B2-4C3F-B6F8-A4B123966216}" name="Marca" dataDxfId="25"/>
    <tableColumn id="9" xr3:uid="{6A190656-C83E-4726-9D23-D559F7789E5F}" name="Modelo" dataDxfId="24"/>
    <tableColumn id="10" xr3:uid="{D3F587A1-46B9-4553-BFD1-16790E9D3B76}" name="Nº série" dataDxfId="23"/>
    <tableColumn id="11" xr3:uid="{268B8778-3DF6-4AB9-8A99-661B711E4890}" name="Ano de instalação" dataDxfId="22"/>
    <tableColumn id="12" xr3:uid="{A5B62C89-AAB9-49E5-ADC1-EE398655D8F8}" name="Capacidade" dataDxfId="21"/>
    <tableColumn id="13" xr3:uid="{13FA38D2-A33C-4EFF-85F2-E4D04B7B3B99}" name="Resolução" dataDxfId="20"/>
    <tableColumn id="14" xr3:uid="{A21A248D-829A-4E0A-9D68-8F97C4DC60E4}" name="Faixa de Medição" dataDxfId="19"/>
    <tableColumn id="15" xr3:uid="{504C2142-829E-4A2F-9248-5FA2D322C90A}" name="Faixa de Operação" dataDxfId="18"/>
    <tableColumn id="16" xr3:uid="{2DBE29C8-6673-45E7-8963-B6A23AD57310}" name="Responsabilidade (ex. Hemobrás, JCI, etc)" dataDxfId="17"/>
    <tableColumn id="17" xr3:uid="{CF35B12A-323B-4DAD-AFF1-9FC11C799E7C}" name="Periodicidade" dataDxfId="16"/>
    <tableColumn id="18" xr3:uid="{5BAB4804-64AF-4AF4-952B-39EA75C63A2A}" name="Observação" dataDxfId="15"/>
    <tableColumn id="19" xr3:uid="{8570CAA4-02E1-4F9E-B229-201D2E12196B}" name="Criticidade (Crítico ou Não Crítico)" dataDxfId="14"/>
    <tableColumn id="20" xr3:uid="{179985B3-EB75-4538-B95F-85B29F9E70C3}" name="Subclassificação do status crítico" dataDxfId="13"/>
    <tableColumn id="21" xr3:uid="{0C743833-9343-4629-B73E-C599AC025BC8}" name="Calibração (SIM ou NÃO)" dataDxfId="12"/>
    <tableColumn id="22" xr3:uid="{FFAF5C7D-EBBD-438C-B288-9A69491F9698}" name="Intervalo de tolerância" dataDxfId="11"/>
    <tableColumn id="23" xr3:uid="{BE367540-5A41-4DD0-B019-2CF37ADC9BFD}" name="Critério de aceitação" dataDxfId="10"/>
    <tableColumn id="24" xr3:uid="{FAF89687-38DC-4DC8-8988-62E2FBAF2C11}" name="Pontos de Calibração" dataDxfId="9"/>
    <tableColumn id="25" xr3:uid="{CD534300-52C4-4B99-BD8D-FA5E7BBC524A}" name="Periodicidade de calibração" dataDxfId="8"/>
    <tableColumn id="26" xr3:uid="{E467F4C9-2629-400F-87A8-6CE17AD02C23}" name="Qualificação (SIM ou NÃO)" dataDxfId="7"/>
    <tableColumn id="27" xr3:uid="{05263763-26FF-43C1-9874-A8E212D44D40}" name="Qualificação Inicial" dataDxfId="6"/>
    <tableColumn id="28" xr3:uid="{4E707D03-5EEE-4603-A7D1-C32C53C4EF76}" name="Status de qualificação" dataDxfId="5"/>
    <tableColumn id="29" xr3:uid="{0FF3DFB4-DDFB-4C11-A872-0E509A2578C1}" name="Observação*" dataDxfId="4"/>
    <tableColumn id="30" xr3:uid="{095D99E0-EC1D-4F8F-9004-A444D1C04DA9}" name="ORIGEM" dataDxfId="3"/>
    <tableColumn id="31" xr3:uid="{63CD075E-DC92-438B-8E8F-B516D7CE9E54}" name="STATUS_TAG" dataDxfId="2">
      <calculatedColumnFormula>IF(TRIM(B2)="","PENDENTE","OK")</calculatedColumnFormula>
    </tableColumn>
    <tableColumn id="32" xr3:uid="{7E51B83C-53B5-4DD7-94E8-42AF47DF3351}" name="TAG_CHECK" dataDxfId="1">
      <calculatedColumnFormula>IF(AE2="PENDENTE",1,0)</calculatedColumnFormula>
    </tableColumn>
    <tableColumn id="33" xr3:uid="{D7BBEB30-2C89-456B-B732-A7F1A93B929D}" name="CALIB_CHECK" dataDxfId="0">
      <calculatedColumnFormula>IF(LEFT(UPPER(TRIM(U2)),3)="SIM",1,0)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9D030-2AC1-42F1-9F57-F69084584454}">
  <sheetPr codeName="Planilha10"/>
  <dimension ref="B2:I6"/>
  <sheetViews>
    <sheetView showGridLines="0" showRowColHeaders="0" workbookViewId="0">
      <selection activeCell="B9" sqref="B9"/>
    </sheetView>
  </sheetViews>
  <sheetFormatPr defaultRowHeight="15" x14ac:dyDescent="0.25"/>
  <cols>
    <col min="1" max="1" width="9.140625" style="6"/>
    <col min="2" max="2" width="109.140625" style="6" bestFit="1" customWidth="1"/>
    <col min="3" max="4" width="9.140625" style="6"/>
    <col min="5" max="5" width="19.42578125" style="6" bestFit="1" customWidth="1"/>
    <col min="6" max="7" width="9.140625" style="6"/>
    <col min="8" max="8" width="18.7109375" style="6" bestFit="1" customWidth="1"/>
    <col min="9" max="16384" width="9.140625" style="6"/>
  </cols>
  <sheetData>
    <row r="2" spans="2:9" ht="28.5" x14ac:dyDescent="0.45">
      <c r="B2" s="5" t="s">
        <v>132</v>
      </c>
    </row>
    <row r="4" spans="2:9" x14ac:dyDescent="0.25">
      <c r="B4" s="7" t="s">
        <v>40</v>
      </c>
      <c r="C4" s="7"/>
      <c r="E4" s="8" t="s">
        <v>41</v>
      </c>
      <c r="F4" s="8"/>
      <c r="H4" s="9" t="s">
        <v>42</v>
      </c>
      <c r="I4" s="9"/>
    </row>
    <row r="5" spans="2:9" ht="33.75" x14ac:dyDescent="0.25">
      <c r="B5" s="10">
        <f>SUBTOTAL(3,BASE_CONSOLIDADA!A:A)-1</f>
        <v>179</v>
      </c>
      <c r="C5" s="7"/>
      <c r="E5" s="11">
        <f>SUBTOTAL(9,BASE_CONSOLIDADA!AF:AF)</f>
        <v>0</v>
      </c>
      <c r="F5" s="8"/>
      <c r="H5" s="12">
        <f>SUBTOTAL(9,BASE_CONSOLIDADA!AG:AG)</f>
        <v>0</v>
      </c>
      <c r="I5" s="9"/>
    </row>
    <row r="6" spans="2:9" x14ac:dyDescent="0.25">
      <c r="B6" s="7"/>
      <c r="C6" s="7"/>
      <c r="E6" s="8"/>
      <c r="F6" s="8"/>
      <c r="H6" s="9"/>
      <c r="I6" s="9"/>
    </row>
  </sheetData>
  <sheetProtection algorithmName="SHA-512" hashValue="XY2TS+xcWj/djI7aveU53XxYad5dUv1jZG2GKqtYaCo4XoKnx8V8Rqdvv8mPn6/TGRDMKUBNm6RYHchY1c3HgA==" saltValue="1moUb2NLa/BcJwZ5GWzp7g==" spinCount="100000" sheet="1" objects="1" scenarios="1" autoFilter="0" pivotTables="0"/>
  <pageMargins left="0.511811024" right="0.511811024" top="0.78740157499999996" bottom="0.78740157499999996" header="0.31496062000000002" footer="0.31496062000000002"/>
  <drawing r:id="rId1"/>
  <extLs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12128-2E63-4B52-890C-9496EB67013B}">
  <sheetPr codeName="Planilha9"/>
  <dimension ref="A1:AG180"/>
  <sheetViews>
    <sheetView topLeftCell="A160" workbookViewId="0">
      <selection activeCell="A41" sqref="A41:AC180"/>
    </sheetView>
  </sheetViews>
  <sheetFormatPr defaultRowHeight="15" x14ac:dyDescent="0.25"/>
  <cols>
    <col min="1" max="1" width="27.42578125" style="6" bestFit="1" customWidth="1"/>
    <col min="2" max="2" width="18.85546875" style="6" bestFit="1" customWidth="1"/>
    <col min="3" max="3" width="10" style="6" bestFit="1" customWidth="1"/>
    <col min="4" max="4" width="17" style="6" bestFit="1" customWidth="1"/>
    <col min="5" max="5" width="58" style="6" bestFit="1" customWidth="1"/>
    <col min="6" max="6" width="17.28515625" style="6" bestFit="1" customWidth="1"/>
    <col min="7" max="7" width="64.28515625" style="6" bestFit="1" customWidth="1"/>
    <col min="8" max="8" width="19" style="6" bestFit="1" customWidth="1"/>
    <col min="9" max="9" width="63.85546875" style="6" bestFit="1" customWidth="1"/>
    <col min="10" max="10" width="52.7109375" style="6" bestFit="1" customWidth="1"/>
    <col min="11" max="11" width="21.28515625" style="6" bestFit="1" customWidth="1"/>
    <col min="12" max="12" width="15.7109375" style="6" bestFit="1" customWidth="1"/>
    <col min="13" max="13" width="14.5703125" style="6" bestFit="1" customWidth="1"/>
    <col min="14" max="14" width="21.140625" style="6" bestFit="1" customWidth="1"/>
    <col min="15" max="15" width="22" style="6" bestFit="1" customWidth="1"/>
    <col min="16" max="16" width="43.42578125" style="6" bestFit="1" customWidth="1"/>
    <col min="17" max="17" width="18" style="6" bestFit="1" customWidth="1"/>
    <col min="18" max="18" width="15.85546875" style="6" bestFit="1" customWidth="1"/>
    <col min="19" max="19" width="36.28515625" style="6" bestFit="1" customWidth="1"/>
    <col min="20" max="20" width="34.7109375" style="6" bestFit="1" customWidth="1"/>
    <col min="21" max="21" width="27.7109375" style="6" bestFit="1" customWidth="1"/>
    <col min="22" max="22" width="26" style="6" bestFit="1" customWidth="1"/>
    <col min="23" max="23" width="24" style="6" bestFit="1" customWidth="1"/>
    <col min="24" max="24" width="24.28515625" style="6" bestFit="1" customWidth="1"/>
    <col min="25" max="25" width="30.42578125" style="6" bestFit="1" customWidth="1"/>
    <col min="26" max="26" width="29.42578125" style="6" bestFit="1" customWidth="1"/>
    <col min="27" max="27" width="22.42578125" style="6" bestFit="1" customWidth="1"/>
    <col min="28" max="28" width="25" style="6" bestFit="1" customWidth="1"/>
    <col min="29" max="29" width="16.85546875" style="6" bestFit="1" customWidth="1"/>
    <col min="30" max="30" width="13" style="6" bestFit="1" customWidth="1"/>
    <col min="31" max="31" width="17" style="6" bestFit="1" customWidth="1"/>
    <col min="32" max="32" width="16" style="6" bestFit="1" customWidth="1"/>
    <col min="33" max="33" width="17.28515625" style="6" bestFit="1" customWidth="1"/>
    <col min="34" max="16384" width="9.140625" style="6"/>
  </cols>
  <sheetData>
    <row r="1" spans="1:33" x14ac:dyDescent="0.25">
      <c r="A1" s="13" t="s">
        <v>43</v>
      </c>
      <c r="B1" s="13" t="s">
        <v>3</v>
      </c>
      <c r="C1" s="13" t="s">
        <v>4</v>
      </c>
      <c r="D1" s="13" t="s">
        <v>5</v>
      </c>
      <c r="E1" s="13" t="s">
        <v>6</v>
      </c>
      <c r="F1" s="13" t="s">
        <v>7</v>
      </c>
      <c r="G1" s="13" t="s">
        <v>8</v>
      </c>
      <c r="H1" s="13" t="s">
        <v>9</v>
      </c>
      <c r="I1" s="13" t="s">
        <v>10</v>
      </c>
      <c r="J1" s="13" t="s">
        <v>11</v>
      </c>
      <c r="K1" s="13" t="s">
        <v>12</v>
      </c>
      <c r="L1" s="13" t="s">
        <v>13</v>
      </c>
      <c r="M1" s="13" t="s">
        <v>14</v>
      </c>
      <c r="N1" s="13" t="s">
        <v>15</v>
      </c>
      <c r="O1" s="13" t="s">
        <v>16</v>
      </c>
      <c r="P1" s="13" t="s">
        <v>17</v>
      </c>
      <c r="Q1" s="13" t="s">
        <v>18</v>
      </c>
      <c r="R1" s="13" t="s">
        <v>19</v>
      </c>
      <c r="S1" s="13" t="s">
        <v>20</v>
      </c>
      <c r="T1" s="13" t="s">
        <v>21</v>
      </c>
      <c r="U1" s="13" t="s">
        <v>22</v>
      </c>
      <c r="V1" s="13" t="s">
        <v>23</v>
      </c>
      <c r="W1" s="13" t="s">
        <v>24</v>
      </c>
      <c r="X1" s="13" t="s">
        <v>25</v>
      </c>
      <c r="Y1" s="13" t="s">
        <v>26</v>
      </c>
      <c r="Z1" s="13" t="s">
        <v>27</v>
      </c>
      <c r="AA1" s="13" t="s">
        <v>28</v>
      </c>
      <c r="AB1" s="13" t="s">
        <v>29</v>
      </c>
      <c r="AC1" s="13" t="s">
        <v>30</v>
      </c>
      <c r="AD1" s="13" t="s">
        <v>36</v>
      </c>
      <c r="AE1" s="13" t="s">
        <v>37</v>
      </c>
      <c r="AF1" s="13" t="s">
        <v>38</v>
      </c>
      <c r="AG1" s="13" t="s">
        <v>39</v>
      </c>
    </row>
    <row r="2" spans="1:33" x14ac:dyDescent="0.25">
      <c r="A2" s="6" t="s">
        <v>35</v>
      </c>
      <c r="B2" s="6" t="s">
        <v>48</v>
      </c>
      <c r="C2" s="6" t="s">
        <v>49</v>
      </c>
      <c r="D2" s="6" t="s">
        <v>50</v>
      </c>
      <c r="E2" s="6" t="s">
        <v>47</v>
      </c>
      <c r="H2" s="6" t="s">
        <v>46</v>
      </c>
      <c r="I2" s="6" t="s">
        <v>45</v>
      </c>
      <c r="J2" s="6">
        <v>52142608</v>
      </c>
      <c r="M2" s="6" t="s">
        <v>130</v>
      </c>
      <c r="O2" s="6" t="s">
        <v>44</v>
      </c>
      <c r="AD2" s="6" t="s">
        <v>280</v>
      </c>
      <c r="AE2" s="6" t="str">
        <f t="shared" ref="AE2:AE33" si="0">IF(TRIM(B2)="","PENDENTE","OK")</f>
        <v>OK</v>
      </c>
      <c r="AF2" s="6">
        <f t="shared" ref="AF2:AF33" si="1">IF(AE2="PENDENTE",1,0)</f>
        <v>0</v>
      </c>
      <c r="AG2" s="6">
        <f t="shared" ref="AG2:AG33" si="2">IF(LEFT(UPPER(TRIM(U2)),3)="SIM",1,0)</f>
        <v>0</v>
      </c>
    </row>
    <row r="3" spans="1:33" x14ac:dyDescent="0.25">
      <c r="A3" s="6" t="s">
        <v>33</v>
      </c>
      <c r="B3" s="6" t="s">
        <v>51</v>
      </c>
      <c r="C3" s="6" t="s">
        <v>49</v>
      </c>
      <c r="D3" s="6" t="s">
        <v>50</v>
      </c>
      <c r="E3" s="6" t="s">
        <v>56</v>
      </c>
      <c r="H3" s="6" t="s">
        <v>55</v>
      </c>
      <c r="J3" s="6" t="s">
        <v>94</v>
      </c>
      <c r="AD3" s="6" t="s">
        <v>280</v>
      </c>
      <c r="AE3" s="6" t="str">
        <f t="shared" si="0"/>
        <v>OK</v>
      </c>
      <c r="AF3" s="6">
        <f t="shared" si="1"/>
        <v>0</v>
      </c>
      <c r="AG3" s="6">
        <f t="shared" si="2"/>
        <v>0</v>
      </c>
    </row>
    <row r="4" spans="1:33" x14ac:dyDescent="0.25">
      <c r="A4" s="6" t="s">
        <v>33</v>
      </c>
      <c r="B4" s="6" t="s">
        <v>52</v>
      </c>
      <c r="C4" s="6" t="s">
        <v>49</v>
      </c>
      <c r="D4" s="6" t="s">
        <v>50</v>
      </c>
      <c r="E4" s="6" t="s">
        <v>56</v>
      </c>
      <c r="H4" s="6" t="s">
        <v>55</v>
      </c>
      <c r="J4" s="6" t="s">
        <v>95</v>
      </c>
      <c r="AD4" s="6" t="s">
        <v>280</v>
      </c>
      <c r="AE4" s="6" t="str">
        <f t="shared" si="0"/>
        <v>OK</v>
      </c>
      <c r="AF4" s="6">
        <f t="shared" si="1"/>
        <v>0</v>
      </c>
      <c r="AG4" s="6">
        <f t="shared" si="2"/>
        <v>0</v>
      </c>
    </row>
    <row r="5" spans="1:33" x14ac:dyDescent="0.25">
      <c r="A5" s="6" t="s">
        <v>33</v>
      </c>
      <c r="B5" s="6" t="s">
        <v>53</v>
      </c>
      <c r="C5" s="6" t="s">
        <v>49</v>
      </c>
      <c r="D5" s="6" t="s">
        <v>50</v>
      </c>
      <c r="E5" s="6" t="s">
        <v>56</v>
      </c>
      <c r="H5" s="6" t="s">
        <v>55</v>
      </c>
      <c r="J5" s="6" t="s">
        <v>96</v>
      </c>
      <c r="AD5" s="6" t="s">
        <v>280</v>
      </c>
      <c r="AE5" s="6" t="str">
        <f t="shared" si="0"/>
        <v>OK</v>
      </c>
      <c r="AF5" s="6">
        <f t="shared" si="1"/>
        <v>0</v>
      </c>
      <c r="AG5" s="6">
        <f t="shared" si="2"/>
        <v>0</v>
      </c>
    </row>
    <row r="6" spans="1:33" x14ac:dyDescent="0.25">
      <c r="A6" s="6" t="s">
        <v>33</v>
      </c>
      <c r="B6" s="6" t="s">
        <v>54</v>
      </c>
      <c r="C6" s="6" t="s">
        <v>49</v>
      </c>
      <c r="D6" s="6" t="s">
        <v>50</v>
      </c>
      <c r="E6" s="6" t="s">
        <v>56</v>
      </c>
      <c r="H6" s="6" t="s">
        <v>55</v>
      </c>
      <c r="J6" s="6" t="s">
        <v>97</v>
      </c>
      <c r="AD6" s="6" t="s">
        <v>280</v>
      </c>
      <c r="AE6" s="6" t="str">
        <f t="shared" si="0"/>
        <v>OK</v>
      </c>
      <c r="AF6" s="6">
        <f t="shared" si="1"/>
        <v>0</v>
      </c>
      <c r="AG6" s="6">
        <f t="shared" si="2"/>
        <v>0</v>
      </c>
    </row>
    <row r="7" spans="1:33" x14ac:dyDescent="0.25">
      <c r="A7" s="6" t="s">
        <v>58</v>
      </c>
      <c r="B7" s="6" t="s">
        <v>59</v>
      </c>
      <c r="C7" s="6" t="s">
        <v>49</v>
      </c>
      <c r="D7" s="6" t="s">
        <v>50</v>
      </c>
      <c r="E7" s="6" t="s">
        <v>57</v>
      </c>
      <c r="H7" s="6" t="s">
        <v>31</v>
      </c>
      <c r="J7" s="6" t="s">
        <v>98</v>
      </c>
      <c r="AD7" s="6" t="s">
        <v>280</v>
      </c>
      <c r="AE7" s="6" t="str">
        <f t="shared" si="0"/>
        <v>OK</v>
      </c>
      <c r="AF7" s="6">
        <f t="shared" si="1"/>
        <v>0</v>
      </c>
      <c r="AG7" s="6">
        <f t="shared" si="2"/>
        <v>0</v>
      </c>
    </row>
    <row r="8" spans="1:33" x14ac:dyDescent="0.25">
      <c r="A8" s="6" t="s">
        <v>1</v>
      </c>
      <c r="B8" s="6" t="s">
        <v>61</v>
      </c>
      <c r="C8" s="6" t="s">
        <v>49</v>
      </c>
      <c r="D8" s="6" t="s">
        <v>50</v>
      </c>
      <c r="E8" s="6" t="s">
        <v>60</v>
      </c>
      <c r="H8" s="6" t="s">
        <v>0</v>
      </c>
      <c r="I8" s="6" t="s">
        <v>91</v>
      </c>
      <c r="AD8" s="6" t="s">
        <v>280</v>
      </c>
      <c r="AE8" s="6" t="str">
        <f t="shared" si="0"/>
        <v>OK</v>
      </c>
      <c r="AF8" s="6">
        <f t="shared" si="1"/>
        <v>0</v>
      </c>
      <c r="AG8" s="6">
        <f t="shared" si="2"/>
        <v>0</v>
      </c>
    </row>
    <row r="9" spans="1:33" x14ac:dyDescent="0.25">
      <c r="A9" s="6" t="s">
        <v>1</v>
      </c>
      <c r="B9" s="6" t="s">
        <v>62</v>
      </c>
      <c r="C9" s="6" t="s">
        <v>49</v>
      </c>
      <c r="D9" s="6" t="s">
        <v>50</v>
      </c>
      <c r="E9" s="6" t="s">
        <v>60</v>
      </c>
      <c r="H9" s="6" t="s">
        <v>0</v>
      </c>
      <c r="I9" s="6" t="s">
        <v>91</v>
      </c>
      <c r="AD9" s="6" t="s">
        <v>280</v>
      </c>
      <c r="AE9" s="6" t="str">
        <f t="shared" si="0"/>
        <v>OK</v>
      </c>
      <c r="AF9" s="6">
        <f t="shared" si="1"/>
        <v>0</v>
      </c>
      <c r="AG9" s="6">
        <f t="shared" si="2"/>
        <v>0</v>
      </c>
    </row>
    <row r="10" spans="1:33" x14ac:dyDescent="0.25">
      <c r="A10" s="6" t="s">
        <v>1</v>
      </c>
      <c r="B10" s="6" t="s">
        <v>63</v>
      </c>
      <c r="C10" s="6" t="s">
        <v>49</v>
      </c>
      <c r="D10" s="6" t="s">
        <v>50</v>
      </c>
      <c r="E10" s="6" t="s">
        <v>60</v>
      </c>
      <c r="H10" s="6" t="s">
        <v>0</v>
      </c>
      <c r="I10" s="6" t="s">
        <v>91</v>
      </c>
      <c r="AD10" s="6" t="s">
        <v>280</v>
      </c>
      <c r="AE10" s="6" t="str">
        <f t="shared" si="0"/>
        <v>OK</v>
      </c>
      <c r="AF10" s="6">
        <f t="shared" si="1"/>
        <v>0</v>
      </c>
      <c r="AG10" s="6">
        <f t="shared" si="2"/>
        <v>0</v>
      </c>
    </row>
    <row r="11" spans="1:33" x14ac:dyDescent="0.25">
      <c r="A11" s="6" t="s">
        <v>1</v>
      </c>
      <c r="B11" s="6" t="s">
        <v>64</v>
      </c>
      <c r="C11" s="6" t="s">
        <v>49</v>
      </c>
      <c r="D11" s="6" t="s">
        <v>50</v>
      </c>
      <c r="E11" s="6" t="s">
        <v>71</v>
      </c>
      <c r="H11" s="6" t="s">
        <v>0</v>
      </c>
      <c r="I11" s="6">
        <v>791</v>
      </c>
      <c r="AD11" s="6" t="s">
        <v>280</v>
      </c>
      <c r="AE11" s="6" t="str">
        <f t="shared" si="0"/>
        <v>OK</v>
      </c>
      <c r="AF11" s="6">
        <f t="shared" si="1"/>
        <v>0</v>
      </c>
      <c r="AG11" s="6">
        <f t="shared" si="2"/>
        <v>0</v>
      </c>
    </row>
    <row r="12" spans="1:33" x14ac:dyDescent="0.25">
      <c r="A12" s="6" t="s">
        <v>1</v>
      </c>
      <c r="B12" s="6" t="s">
        <v>65</v>
      </c>
      <c r="C12" s="6" t="s">
        <v>49</v>
      </c>
      <c r="D12" s="6" t="s">
        <v>50</v>
      </c>
      <c r="E12" s="6" t="s">
        <v>72</v>
      </c>
      <c r="H12" s="6" t="s">
        <v>0</v>
      </c>
      <c r="I12" s="6">
        <v>791</v>
      </c>
      <c r="AD12" s="6" t="s">
        <v>280</v>
      </c>
      <c r="AE12" s="6" t="str">
        <f t="shared" si="0"/>
        <v>OK</v>
      </c>
      <c r="AF12" s="6">
        <f t="shared" si="1"/>
        <v>0</v>
      </c>
      <c r="AG12" s="6">
        <f t="shared" si="2"/>
        <v>0</v>
      </c>
    </row>
    <row r="13" spans="1:33" x14ac:dyDescent="0.25">
      <c r="A13" s="6" t="s">
        <v>1</v>
      </c>
      <c r="B13" s="6" t="s">
        <v>66</v>
      </c>
      <c r="C13" s="6" t="s">
        <v>49</v>
      </c>
      <c r="D13" s="6" t="s">
        <v>50</v>
      </c>
      <c r="E13" s="6" t="s">
        <v>73</v>
      </c>
      <c r="H13" s="6" t="s">
        <v>90</v>
      </c>
      <c r="I13" s="6" t="s">
        <v>92</v>
      </c>
      <c r="AD13" s="6" t="s">
        <v>280</v>
      </c>
      <c r="AE13" s="6" t="str">
        <f t="shared" si="0"/>
        <v>OK</v>
      </c>
      <c r="AF13" s="6">
        <f t="shared" si="1"/>
        <v>0</v>
      </c>
      <c r="AG13" s="6">
        <f t="shared" si="2"/>
        <v>0</v>
      </c>
    </row>
    <row r="14" spans="1:33" x14ac:dyDescent="0.25">
      <c r="A14" s="6" t="s">
        <v>1</v>
      </c>
      <c r="B14" s="6" t="s">
        <v>67</v>
      </c>
      <c r="C14" s="6" t="s">
        <v>49</v>
      </c>
      <c r="D14" s="6" t="s">
        <v>50</v>
      </c>
      <c r="E14" s="6" t="s">
        <v>74</v>
      </c>
      <c r="H14" s="6" t="s">
        <v>90</v>
      </c>
      <c r="I14" s="6" t="s">
        <v>93</v>
      </c>
      <c r="AD14" s="6" t="s">
        <v>280</v>
      </c>
      <c r="AE14" s="6" t="str">
        <f t="shared" si="0"/>
        <v>OK</v>
      </c>
      <c r="AF14" s="6">
        <f t="shared" si="1"/>
        <v>0</v>
      </c>
      <c r="AG14" s="6">
        <f t="shared" si="2"/>
        <v>0</v>
      </c>
    </row>
    <row r="15" spans="1:33" x14ac:dyDescent="0.25">
      <c r="A15" s="6" t="s">
        <v>1</v>
      </c>
      <c r="B15" s="6" t="s">
        <v>68</v>
      </c>
      <c r="C15" s="6" t="s">
        <v>49</v>
      </c>
      <c r="D15" s="6" t="s">
        <v>50</v>
      </c>
      <c r="E15" s="6" t="s">
        <v>73</v>
      </c>
      <c r="H15" s="6" t="s">
        <v>90</v>
      </c>
      <c r="I15" s="6" t="s">
        <v>92</v>
      </c>
      <c r="AD15" s="6" t="s">
        <v>280</v>
      </c>
      <c r="AE15" s="6" t="str">
        <f t="shared" si="0"/>
        <v>OK</v>
      </c>
      <c r="AF15" s="6">
        <f t="shared" si="1"/>
        <v>0</v>
      </c>
      <c r="AG15" s="6">
        <f t="shared" si="2"/>
        <v>0</v>
      </c>
    </row>
    <row r="16" spans="1:33" x14ac:dyDescent="0.25">
      <c r="A16" s="6" t="s">
        <v>1</v>
      </c>
      <c r="B16" s="6" t="s">
        <v>69</v>
      </c>
      <c r="C16" s="6" t="s">
        <v>49</v>
      </c>
      <c r="D16" s="6" t="s">
        <v>50</v>
      </c>
      <c r="E16" s="6" t="s">
        <v>74</v>
      </c>
      <c r="H16" s="6" t="s">
        <v>90</v>
      </c>
      <c r="I16" s="6" t="s">
        <v>93</v>
      </c>
      <c r="AD16" s="6" t="s">
        <v>280</v>
      </c>
      <c r="AE16" s="6" t="str">
        <f t="shared" si="0"/>
        <v>OK</v>
      </c>
      <c r="AF16" s="6">
        <f t="shared" si="1"/>
        <v>0</v>
      </c>
      <c r="AG16" s="6">
        <f t="shared" si="2"/>
        <v>0</v>
      </c>
    </row>
    <row r="17" spans="1:33" x14ac:dyDescent="0.25">
      <c r="A17" s="6" t="s">
        <v>1</v>
      </c>
      <c r="B17" s="6" t="s">
        <v>70</v>
      </c>
      <c r="C17" s="6" t="s">
        <v>49</v>
      </c>
      <c r="D17" s="6" t="s">
        <v>50</v>
      </c>
      <c r="E17" s="6" t="s">
        <v>73</v>
      </c>
      <c r="H17" s="6" t="s">
        <v>90</v>
      </c>
      <c r="I17" s="6" t="s">
        <v>92</v>
      </c>
      <c r="AD17" s="6" t="s">
        <v>280</v>
      </c>
      <c r="AE17" s="6" t="str">
        <f t="shared" si="0"/>
        <v>OK</v>
      </c>
      <c r="AF17" s="6">
        <f t="shared" si="1"/>
        <v>0</v>
      </c>
      <c r="AG17" s="6">
        <f t="shared" si="2"/>
        <v>0</v>
      </c>
    </row>
    <row r="18" spans="1:33" x14ac:dyDescent="0.25">
      <c r="A18" s="6" t="s">
        <v>1</v>
      </c>
      <c r="B18" s="6" t="s">
        <v>75</v>
      </c>
      <c r="C18" s="6" t="s">
        <v>49</v>
      </c>
      <c r="D18" s="6" t="s">
        <v>50</v>
      </c>
      <c r="E18" s="6" t="s">
        <v>73</v>
      </c>
      <c r="H18" s="6" t="s">
        <v>90</v>
      </c>
      <c r="I18" s="6" t="s">
        <v>92</v>
      </c>
      <c r="AD18" s="6" t="s">
        <v>280</v>
      </c>
      <c r="AE18" s="6" t="str">
        <f t="shared" si="0"/>
        <v>OK</v>
      </c>
      <c r="AF18" s="6">
        <f t="shared" si="1"/>
        <v>0</v>
      </c>
      <c r="AG18" s="6">
        <f t="shared" si="2"/>
        <v>0</v>
      </c>
    </row>
    <row r="19" spans="1:33" x14ac:dyDescent="0.25">
      <c r="A19" s="6" t="s">
        <v>1</v>
      </c>
      <c r="B19" s="6" t="s">
        <v>76</v>
      </c>
      <c r="C19" s="6" t="s">
        <v>49</v>
      </c>
      <c r="D19" s="6" t="s">
        <v>50</v>
      </c>
      <c r="E19" s="6" t="s">
        <v>74</v>
      </c>
      <c r="H19" s="6" t="s">
        <v>90</v>
      </c>
      <c r="I19" s="6" t="s">
        <v>93</v>
      </c>
      <c r="AD19" s="6" t="s">
        <v>280</v>
      </c>
      <c r="AE19" s="6" t="str">
        <f t="shared" si="0"/>
        <v>OK</v>
      </c>
      <c r="AF19" s="6">
        <f t="shared" si="1"/>
        <v>0</v>
      </c>
      <c r="AG19" s="6">
        <f t="shared" si="2"/>
        <v>0</v>
      </c>
    </row>
    <row r="20" spans="1:33" x14ac:dyDescent="0.25">
      <c r="A20" s="6" t="s">
        <v>1</v>
      </c>
      <c r="B20" s="6" t="s">
        <v>77</v>
      </c>
      <c r="C20" s="6" t="s">
        <v>49</v>
      </c>
      <c r="D20" s="6" t="s">
        <v>50</v>
      </c>
      <c r="E20" s="6" t="s">
        <v>73</v>
      </c>
      <c r="H20" s="6" t="s">
        <v>90</v>
      </c>
      <c r="I20" s="6" t="s">
        <v>92</v>
      </c>
      <c r="AD20" s="6" t="s">
        <v>280</v>
      </c>
      <c r="AE20" s="6" t="str">
        <f t="shared" si="0"/>
        <v>OK</v>
      </c>
      <c r="AF20" s="6">
        <f t="shared" si="1"/>
        <v>0</v>
      </c>
      <c r="AG20" s="6">
        <f t="shared" si="2"/>
        <v>0</v>
      </c>
    </row>
    <row r="21" spans="1:33" x14ac:dyDescent="0.25">
      <c r="A21" s="6" t="s">
        <v>1</v>
      </c>
      <c r="B21" s="6" t="s">
        <v>78</v>
      </c>
      <c r="C21" s="6" t="s">
        <v>49</v>
      </c>
      <c r="D21" s="6" t="s">
        <v>50</v>
      </c>
      <c r="E21" s="6" t="s">
        <v>74</v>
      </c>
      <c r="H21" s="6" t="s">
        <v>90</v>
      </c>
      <c r="I21" s="6" t="s">
        <v>93</v>
      </c>
      <c r="AD21" s="6" t="s">
        <v>280</v>
      </c>
      <c r="AE21" s="6" t="str">
        <f t="shared" si="0"/>
        <v>OK</v>
      </c>
      <c r="AF21" s="6">
        <f t="shared" si="1"/>
        <v>0</v>
      </c>
      <c r="AG21" s="6">
        <f t="shared" si="2"/>
        <v>0</v>
      </c>
    </row>
    <row r="22" spans="1:33" x14ac:dyDescent="0.25">
      <c r="A22" s="6" t="s">
        <v>1</v>
      </c>
      <c r="B22" s="6" t="s">
        <v>79</v>
      </c>
      <c r="C22" s="6" t="s">
        <v>49</v>
      </c>
      <c r="D22" s="6" t="s">
        <v>50</v>
      </c>
      <c r="E22" s="6" t="s">
        <v>73</v>
      </c>
      <c r="H22" s="6" t="s">
        <v>90</v>
      </c>
      <c r="I22" s="6" t="s">
        <v>92</v>
      </c>
      <c r="AD22" s="6" t="s">
        <v>280</v>
      </c>
      <c r="AE22" s="6" t="str">
        <f t="shared" si="0"/>
        <v>OK</v>
      </c>
      <c r="AF22" s="6">
        <f t="shared" si="1"/>
        <v>0</v>
      </c>
      <c r="AG22" s="6">
        <f t="shared" si="2"/>
        <v>0</v>
      </c>
    </row>
    <row r="23" spans="1:33" x14ac:dyDescent="0.25">
      <c r="A23" s="6" t="s">
        <v>1</v>
      </c>
      <c r="B23" s="6" t="s">
        <v>80</v>
      </c>
      <c r="C23" s="6" t="s">
        <v>49</v>
      </c>
      <c r="D23" s="6" t="s">
        <v>50</v>
      </c>
      <c r="E23" s="6" t="s">
        <v>88</v>
      </c>
      <c r="H23" s="6" t="s">
        <v>90</v>
      </c>
      <c r="I23" s="6" t="s">
        <v>93</v>
      </c>
      <c r="AD23" s="6" t="s">
        <v>280</v>
      </c>
      <c r="AE23" s="6" t="str">
        <f t="shared" si="0"/>
        <v>OK</v>
      </c>
      <c r="AF23" s="6">
        <f t="shared" si="1"/>
        <v>0</v>
      </c>
      <c r="AG23" s="6">
        <f t="shared" si="2"/>
        <v>0</v>
      </c>
    </row>
    <row r="24" spans="1:33" x14ac:dyDescent="0.25">
      <c r="A24" s="6" t="s">
        <v>1</v>
      </c>
      <c r="B24" s="6" t="s">
        <v>81</v>
      </c>
      <c r="C24" s="6" t="s">
        <v>49</v>
      </c>
      <c r="D24" s="6" t="s">
        <v>50</v>
      </c>
      <c r="E24" s="6" t="s">
        <v>88</v>
      </c>
      <c r="H24" s="6" t="s">
        <v>90</v>
      </c>
      <c r="I24" s="6" t="s">
        <v>93</v>
      </c>
      <c r="AD24" s="6" t="s">
        <v>280</v>
      </c>
      <c r="AE24" s="6" t="str">
        <f t="shared" si="0"/>
        <v>OK</v>
      </c>
      <c r="AF24" s="6">
        <f t="shared" si="1"/>
        <v>0</v>
      </c>
      <c r="AG24" s="6">
        <f t="shared" si="2"/>
        <v>0</v>
      </c>
    </row>
    <row r="25" spans="1:33" x14ac:dyDescent="0.25">
      <c r="A25" s="6" t="s">
        <v>1</v>
      </c>
      <c r="B25" s="6" t="s">
        <v>82</v>
      </c>
      <c r="C25" s="6" t="s">
        <v>49</v>
      </c>
      <c r="D25" s="6" t="s">
        <v>50</v>
      </c>
      <c r="E25" s="6" t="s">
        <v>88</v>
      </c>
      <c r="H25" s="6" t="s">
        <v>90</v>
      </c>
      <c r="I25" s="6" t="s">
        <v>93</v>
      </c>
      <c r="AD25" s="6" t="s">
        <v>280</v>
      </c>
      <c r="AE25" s="6" t="str">
        <f t="shared" si="0"/>
        <v>OK</v>
      </c>
      <c r="AF25" s="6">
        <f t="shared" si="1"/>
        <v>0</v>
      </c>
      <c r="AG25" s="6">
        <f t="shared" si="2"/>
        <v>0</v>
      </c>
    </row>
    <row r="26" spans="1:33" x14ac:dyDescent="0.25">
      <c r="A26" s="6" t="s">
        <v>1</v>
      </c>
      <c r="B26" s="6" t="s">
        <v>83</v>
      </c>
      <c r="C26" s="6" t="s">
        <v>49</v>
      </c>
      <c r="D26" s="6" t="s">
        <v>50</v>
      </c>
      <c r="E26" s="6" t="s">
        <v>89</v>
      </c>
      <c r="H26" s="6" t="s">
        <v>90</v>
      </c>
      <c r="I26" s="6" t="s">
        <v>93</v>
      </c>
      <c r="AD26" s="6" t="s">
        <v>280</v>
      </c>
      <c r="AE26" s="6" t="str">
        <f t="shared" si="0"/>
        <v>OK</v>
      </c>
      <c r="AF26" s="6">
        <f t="shared" si="1"/>
        <v>0</v>
      </c>
      <c r="AG26" s="6">
        <f t="shared" si="2"/>
        <v>0</v>
      </c>
    </row>
    <row r="27" spans="1:33" x14ac:dyDescent="0.25">
      <c r="A27" s="6" t="s">
        <v>1</v>
      </c>
      <c r="B27" s="6" t="s">
        <v>84</v>
      </c>
      <c r="C27" s="6" t="s">
        <v>49</v>
      </c>
      <c r="D27" s="6" t="s">
        <v>50</v>
      </c>
      <c r="E27" s="6" t="s">
        <v>73</v>
      </c>
      <c r="H27" s="6" t="s">
        <v>90</v>
      </c>
      <c r="I27" s="6" t="s">
        <v>92</v>
      </c>
      <c r="AD27" s="6" t="s">
        <v>280</v>
      </c>
      <c r="AE27" s="6" t="str">
        <f t="shared" si="0"/>
        <v>OK</v>
      </c>
      <c r="AF27" s="6">
        <f t="shared" si="1"/>
        <v>0</v>
      </c>
      <c r="AG27" s="6">
        <f t="shared" si="2"/>
        <v>0</v>
      </c>
    </row>
    <row r="28" spans="1:33" x14ac:dyDescent="0.25">
      <c r="A28" s="6" t="s">
        <v>1</v>
      </c>
      <c r="B28" s="6" t="s">
        <v>85</v>
      </c>
      <c r="C28" s="6" t="s">
        <v>49</v>
      </c>
      <c r="D28" s="6" t="s">
        <v>50</v>
      </c>
      <c r="E28" s="6" t="s">
        <v>73</v>
      </c>
      <c r="H28" s="6" t="s">
        <v>90</v>
      </c>
      <c r="I28" s="6" t="s">
        <v>92</v>
      </c>
      <c r="AD28" s="6" t="s">
        <v>280</v>
      </c>
      <c r="AE28" s="6" t="str">
        <f t="shared" si="0"/>
        <v>OK</v>
      </c>
      <c r="AF28" s="6">
        <f t="shared" si="1"/>
        <v>0</v>
      </c>
      <c r="AG28" s="6">
        <f t="shared" si="2"/>
        <v>0</v>
      </c>
    </row>
    <row r="29" spans="1:33" x14ac:dyDescent="0.25">
      <c r="A29" s="6" t="s">
        <v>1</v>
      </c>
      <c r="B29" s="6" t="s">
        <v>87</v>
      </c>
      <c r="C29" s="6" t="s">
        <v>49</v>
      </c>
      <c r="D29" s="6" t="s">
        <v>50</v>
      </c>
      <c r="E29" s="6" t="s">
        <v>73</v>
      </c>
      <c r="H29" s="6" t="s">
        <v>90</v>
      </c>
      <c r="I29" s="6" t="s">
        <v>92</v>
      </c>
      <c r="AD29" s="6" t="s">
        <v>280</v>
      </c>
      <c r="AE29" s="6" t="str">
        <f t="shared" si="0"/>
        <v>OK</v>
      </c>
      <c r="AF29" s="6">
        <f t="shared" si="1"/>
        <v>0</v>
      </c>
      <c r="AG29" s="6">
        <f t="shared" si="2"/>
        <v>0</v>
      </c>
    </row>
    <row r="30" spans="1:33" x14ac:dyDescent="0.25">
      <c r="A30" s="6" t="s">
        <v>1</v>
      </c>
      <c r="B30" s="6" t="s">
        <v>86</v>
      </c>
      <c r="C30" s="6" t="s">
        <v>49</v>
      </c>
      <c r="D30" s="6" t="s">
        <v>50</v>
      </c>
      <c r="E30" s="6" t="s">
        <v>88</v>
      </c>
      <c r="H30" s="6" t="s">
        <v>90</v>
      </c>
      <c r="I30" s="6" t="s">
        <v>93</v>
      </c>
      <c r="AD30" s="6" t="s">
        <v>280</v>
      </c>
      <c r="AE30" s="6" t="str">
        <f t="shared" si="0"/>
        <v>OK</v>
      </c>
      <c r="AF30" s="6">
        <f t="shared" si="1"/>
        <v>0</v>
      </c>
      <c r="AG30" s="6">
        <f t="shared" si="2"/>
        <v>0</v>
      </c>
    </row>
    <row r="31" spans="1:33" x14ac:dyDescent="0.25">
      <c r="A31" s="6" t="s">
        <v>100</v>
      </c>
      <c r="B31" s="6" t="s">
        <v>101</v>
      </c>
      <c r="C31" s="6" t="s">
        <v>49</v>
      </c>
      <c r="D31" s="6" t="s">
        <v>50</v>
      </c>
      <c r="E31" s="6" t="s">
        <v>99</v>
      </c>
      <c r="H31" s="6" t="s">
        <v>31</v>
      </c>
      <c r="I31" s="6" t="s">
        <v>105</v>
      </c>
      <c r="J31" s="6" t="s">
        <v>111</v>
      </c>
      <c r="M31" s="6" t="s">
        <v>128</v>
      </c>
      <c r="O31" s="6" t="s">
        <v>127</v>
      </c>
      <c r="AD31" s="6" t="s">
        <v>280</v>
      </c>
      <c r="AE31" s="6" t="str">
        <f t="shared" si="0"/>
        <v>OK</v>
      </c>
      <c r="AF31" s="6">
        <f t="shared" si="1"/>
        <v>0</v>
      </c>
      <c r="AG31" s="6">
        <f t="shared" si="2"/>
        <v>0</v>
      </c>
    </row>
    <row r="32" spans="1:33" x14ac:dyDescent="0.25">
      <c r="A32" s="6" t="s">
        <v>100</v>
      </c>
      <c r="B32" s="6" t="s">
        <v>102</v>
      </c>
      <c r="C32" s="6" t="s">
        <v>49</v>
      </c>
      <c r="D32" s="6" t="s">
        <v>50</v>
      </c>
      <c r="E32" s="6" t="s">
        <v>99</v>
      </c>
      <c r="H32" s="6" t="s">
        <v>31</v>
      </c>
      <c r="I32" s="6" t="s">
        <v>105</v>
      </c>
      <c r="J32" s="6" t="s">
        <v>112</v>
      </c>
      <c r="M32" s="6" t="s">
        <v>128</v>
      </c>
      <c r="O32" s="6" t="s">
        <v>127</v>
      </c>
      <c r="AD32" s="6" t="s">
        <v>280</v>
      </c>
      <c r="AE32" s="6" t="str">
        <f t="shared" si="0"/>
        <v>OK</v>
      </c>
      <c r="AF32" s="6">
        <f t="shared" si="1"/>
        <v>0</v>
      </c>
      <c r="AG32" s="6">
        <f t="shared" si="2"/>
        <v>0</v>
      </c>
    </row>
    <row r="33" spans="1:33" x14ac:dyDescent="0.25">
      <c r="A33" s="6" t="s">
        <v>100</v>
      </c>
      <c r="B33" s="6" t="s">
        <v>103</v>
      </c>
      <c r="C33" s="6" t="s">
        <v>49</v>
      </c>
      <c r="D33" s="6" t="s">
        <v>50</v>
      </c>
      <c r="E33" s="6" t="s">
        <v>99</v>
      </c>
      <c r="H33" s="6" t="s">
        <v>31</v>
      </c>
      <c r="I33" s="6" t="s">
        <v>105</v>
      </c>
      <c r="J33" s="6" t="s">
        <v>113</v>
      </c>
      <c r="M33" s="6" t="s">
        <v>128</v>
      </c>
      <c r="O33" s="6" t="s">
        <v>127</v>
      </c>
      <c r="AD33" s="6" t="s">
        <v>280</v>
      </c>
      <c r="AE33" s="6" t="str">
        <f t="shared" si="0"/>
        <v>OK</v>
      </c>
      <c r="AF33" s="6">
        <f t="shared" si="1"/>
        <v>0</v>
      </c>
      <c r="AG33" s="6">
        <f t="shared" si="2"/>
        <v>0</v>
      </c>
    </row>
    <row r="34" spans="1:33" x14ac:dyDescent="0.25">
      <c r="A34" s="6" t="s">
        <v>100</v>
      </c>
      <c r="B34" s="6" t="s">
        <v>104</v>
      </c>
      <c r="C34" s="6" t="s">
        <v>49</v>
      </c>
      <c r="D34" s="6" t="s">
        <v>50</v>
      </c>
      <c r="E34" s="6" t="s">
        <v>99</v>
      </c>
      <c r="H34" s="6" t="s">
        <v>31</v>
      </c>
      <c r="I34" s="6" t="s">
        <v>105</v>
      </c>
      <c r="J34" s="6" t="s">
        <v>114</v>
      </c>
      <c r="M34" s="6" t="s">
        <v>128</v>
      </c>
      <c r="O34" s="6" t="s">
        <v>127</v>
      </c>
      <c r="AD34" s="6" t="s">
        <v>280</v>
      </c>
      <c r="AE34" s="6" t="str">
        <f t="shared" ref="AE34:AE65" si="3">IF(TRIM(B34)="","PENDENTE","OK")</f>
        <v>OK</v>
      </c>
      <c r="AF34" s="6">
        <f t="shared" ref="AF34:AF65" si="4">IF(AE34="PENDENTE",1,0)</f>
        <v>0</v>
      </c>
      <c r="AG34" s="6">
        <f t="shared" ref="AG34:AG65" si="5">IF(LEFT(UPPER(TRIM(U34)),3)="SIM",1,0)</f>
        <v>0</v>
      </c>
    </row>
    <row r="35" spans="1:33" x14ac:dyDescent="0.25">
      <c r="A35" s="6" t="s">
        <v>32</v>
      </c>
      <c r="B35" s="6" t="s">
        <v>106</v>
      </c>
      <c r="C35" s="6" t="s">
        <v>49</v>
      </c>
      <c r="D35" s="6" t="s">
        <v>50</v>
      </c>
      <c r="E35" s="6" t="s">
        <v>131</v>
      </c>
      <c r="H35" s="6" t="s">
        <v>34</v>
      </c>
      <c r="I35" s="6" t="s">
        <v>125</v>
      </c>
      <c r="J35" s="6" t="s">
        <v>115</v>
      </c>
      <c r="M35" s="6" t="s">
        <v>133</v>
      </c>
      <c r="O35" s="6" t="s">
        <v>126</v>
      </c>
      <c r="AD35" s="6" t="s">
        <v>280</v>
      </c>
      <c r="AE35" s="6" t="str">
        <f t="shared" si="3"/>
        <v>OK</v>
      </c>
      <c r="AF35" s="6">
        <f t="shared" si="4"/>
        <v>0</v>
      </c>
      <c r="AG35" s="6">
        <f t="shared" si="5"/>
        <v>0</v>
      </c>
    </row>
    <row r="36" spans="1:33" x14ac:dyDescent="0.25">
      <c r="A36" s="6" t="s">
        <v>32</v>
      </c>
      <c r="B36" s="6" t="s">
        <v>107</v>
      </c>
      <c r="C36" s="6" t="s">
        <v>49</v>
      </c>
      <c r="D36" s="6" t="s">
        <v>50</v>
      </c>
      <c r="E36" s="6" t="s">
        <v>131</v>
      </c>
      <c r="H36" s="6" t="s">
        <v>34</v>
      </c>
      <c r="I36" s="6" t="s">
        <v>125</v>
      </c>
      <c r="J36" s="6" t="s">
        <v>116</v>
      </c>
      <c r="M36" s="6" t="s">
        <v>133</v>
      </c>
      <c r="O36" s="6" t="s">
        <v>126</v>
      </c>
      <c r="AD36" s="6" t="s">
        <v>280</v>
      </c>
      <c r="AE36" s="6" t="str">
        <f t="shared" si="3"/>
        <v>OK</v>
      </c>
      <c r="AF36" s="6">
        <f t="shared" si="4"/>
        <v>0</v>
      </c>
      <c r="AG36" s="6">
        <f t="shared" si="5"/>
        <v>0</v>
      </c>
    </row>
    <row r="37" spans="1:33" x14ac:dyDescent="0.25">
      <c r="A37" s="6" t="s">
        <v>32</v>
      </c>
      <c r="B37" s="6" t="s">
        <v>108</v>
      </c>
      <c r="C37" s="6" t="s">
        <v>49</v>
      </c>
      <c r="D37" s="6" t="s">
        <v>50</v>
      </c>
      <c r="E37" s="6" t="s">
        <v>131</v>
      </c>
      <c r="H37" s="6" t="s">
        <v>34</v>
      </c>
      <c r="I37" s="6" t="s">
        <v>125</v>
      </c>
      <c r="J37" s="6" t="s">
        <v>117</v>
      </c>
      <c r="M37" s="6" t="s">
        <v>133</v>
      </c>
      <c r="O37" s="6" t="s">
        <v>126</v>
      </c>
      <c r="AD37" s="6" t="s">
        <v>280</v>
      </c>
      <c r="AE37" s="6" t="str">
        <f t="shared" si="3"/>
        <v>OK</v>
      </c>
      <c r="AF37" s="6">
        <f t="shared" si="4"/>
        <v>0</v>
      </c>
      <c r="AG37" s="6">
        <f t="shared" si="5"/>
        <v>0</v>
      </c>
    </row>
    <row r="38" spans="1:33" x14ac:dyDescent="0.25">
      <c r="A38" s="6" t="s">
        <v>32</v>
      </c>
      <c r="B38" s="6" t="s">
        <v>109</v>
      </c>
      <c r="C38" s="6" t="s">
        <v>49</v>
      </c>
      <c r="D38" s="6" t="s">
        <v>50</v>
      </c>
      <c r="E38" s="6" t="s">
        <v>131</v>
      </c>
      <c r="H38" s="6" t="s">
        <v>34</v>
      </c>
      <c r="I38" s="6" t="s">
        <v>125</v>
      </c>
      <c r="J38" s="6" t="s">
        <v>118</v>
      </c>
      <c r="M38" s="6" t="s">
        <v>133</v>
      </c>
      <c r="O38" s="6" t="s">
        <v>126</v>
      </c>
      <c r="AD38" s="6" t="s">
        <v>280</v>
      </c>
      <c r="AE38" s="6" t="str">
        <f t="shared" si="3"/>
        <v>OK</v>
      </c>
      <c r="AF38" s="6">
        <f t="shared" si="4"/>
        <v>0</v>
      </c>
      <c r="AG38" s="6">
        <f t="shared" si="5"/>
        <v>0</v>
      </c>
    </row>
    <row r="39" spans="1:33" x14ac:dyDescent="0.25">
      <c r="A39" s="6" t="s">
        <v>32</v>
      </c>
      <c r="B39" s="6" t="s">
        <v>110</v>
      </c>
      <c r="C39" s="6" t="s">
        <v>49</v>
      </c>
      <c r="D39" s="6" t="s">
        <v>50</v>
      </c>
      <c r="E39" s="6" t="s">
        <v>131</v>
      </c>
      <c r="H39" s="6" t="s">
        <v>34</v>
      </c>
      <c r="I39" s="6" t="s">
        <v>125</v>
      </c>
      <c r="J39" s="6" t="s">
        <v>119</v>
      </c>
      <c r="M39" s="6" t="s">
        <v>133</v>
      </c>
      <c r="O39" s="6" t="s">
        <v>126</v>
      </c>
      <c r="AD39" s="6" t="s">
        <v>280</v>
      </c>
      <c r="AE39" s="6" t="str">
        <f t="shared" si="3"/>
        <v>OK</v>
      </c>
      <c r="AF39" s="6">
        <f t="shared" si="4"/>
        <v>0</v>
      </c>
      <c r="AG39" s="6">
        <f t="shared" si="5"/>
        <v>0</v>
      </c>
    </row>
    <row r="40" spans="1:33" x14ac:dyDescent="0.25">
      <c r="A40" s="6" t="s">
        <v>121</v>
      </c>
      <c r="B40" s="6" t="s">
        <v>122</v>
      </c>
      <c r="C40" s="6" t="s">
        <v>49</v>
      </c>
      <c r="D40" s="6" t="s">
        <v>50</v>
      </c>
      <c r="E40" s="6" t="s">
        <v>120</v>
      </c>
      <c r="H40" s="6" t="s">
        <v>31</v>
      </c>
      <c r="I40" s="6" t="s">
        <v>123</v>
      </c>
      <c r="J40" s="6" t="s">
        <v>124</v>
      </c>
      <c r="M40" s="6" t="s">
        <v>129</v>
      </c>
      <c r="O40" s="6" t="s">
        <v>126</v>
      </c>
      <c r="AD40" s="6" t="s">
        <v>280</v>
      </c>
      <c r="AE40" s="6" t="str">
        <f t="shared" si="3"/>
        <v>OK</v>
      </c>
      <c r="AF40" s="6">
        <f t="shared" si="4"/>
        <v>0</v>
      </c>
      <c r="AG40" s="6">
        <f t="shared" si="5"/>
        <v>0</v>
      </c>
    </row>
    <row r="41" spans="1:33" x14ac:dyDescent="0.25">
      <c r="A41" s="6" t="s">
        <v>1</v>
      </c>
      <c r="B41" s="6" t="s">
        <v>134</v>
      </c>
      <c r="C41" s="6" t="s">
        <v>49</v>
      </c>
      <c r="D41" s="6" t="s">
        <v>50</v>
      </c>
      <c r="E41" s="6" t="s">
        <v>261</v>
      </c>
      <c r="AD41" s="6" t="s">
        <v>281</v>
      </c>
      <c r="AE41" s="6" t="str">
        <f t="shared" si="3"/>
        <v>OK</v>
      </c>
      <c r="AF41" s="6">
        <f t="shared" si="4"/>
        <v>0</v>
      </c>
      <c r="AG41" s="6">
        <f t="shared" si="5"/>
        <v>0</v>
      </c>
    </row>
    <row r="42" spans="1:33" x14ac:dyDescent="0.25">
      <c r="A42" s="6" t="s">
        <v>1</v>
      </c>
      <c r="B42" s="6" t="s">
        <v>135</v>
      </c>
      <c r="C42" s="6" t="s">
        <v>49</v>
      </c>
      <c r="D42" s="6" t="s">
        <v>50</v>
      </c>
      <c r="E42" s="6" t="s">
        <v>261</v>
      </c>
      <c r="AD42" s="6" t="s">
        <v>281</v>
      </c>
      <c r="AE42" s="6" t="str">
        <f t="shared" si="3"/>
        <v>OK</v>
      </c>
      <c r="AF42" s="6">
        <f t="shared" si="4"/>
        <v>0</v>
      </c>
      <c r="AG42" s="6">
        <f t="shared" si="5"/>
        <v>0</v>
      </c>
    </row>
    <row r="43" spans="1:33" x14ac:dyDescent="0.25">
      <c r="A43" s="6" t="s">
        <v>1</v>
      </c>
      <c r="B43" s="6" t="s">
        <v>136</v>
      </c>
      <c r="C43" s="6" t="s">
        <v>49</v>
      </c>
      <c r="D43" s="6" t="s">
        <v>50</v>
      </c>
      <c r="E43" s="6" t="s">
        <v>262</v>
      </c>
      <c r="AD43" s="6" t="s">
        <v>281</v>
      </c>
      <c r="AE43" s="6" t="str">
        <f t="shared" si="3"/>
        <v>OK</v>
      </c>
      <c r="AF43" s="6">
        <f t="shared" si="4"/>
        <v>0</v>
      </c>
      <c r="AG43" s="6">
        <f t="shared" si="5"/>
        <v>0</v>
      </c>
    </row>
    <row r="44" spans="1:33" x14ac:dyDescent="0.25">
      <c r="A44" s="6" t="s">
        <v>1</v>
      </c>
      <c r="B44" s="6" t="s">
        <v>137</v>
      </c>
      <c r="C44" s="6" t="s">
        <v>49</v>
      </c>
      <c r="D44" s="6" t="s">
        <v>50</v>
      </c>
      <c r="E44" s="6" t="s">
        <v>263</v>
      </c>
      <c r="AD44" s="6" t="s">
        <v>281</v>
      </c>
      <c r="AE44" s="6" t="str">
        <f t="shared" si="3"/>
        <v>OK</v>
      </c>
      <c r="AF44" s="6">
        <f t="shared" si="4"/>
        <v>0</v>
      </c>
      <c r="AG44" s="6">
        <f t="shared" si="5"/>
        <v>0</v>
      </c>
    </row>
    <row r="45" spans="1:33" x14ac:dyDescent="0.25">
      <c r="A45" s="6" t="s">
        <v>1</v>
      </c>
      <c r="B45" s="6" t="s">
        <v>138</v>
      </c>
      <c r="C45" s="6" t="s">
        <v>49</v>
      </c>
      <c r="D45" s="6" t="s">
        <v>50</v>
      </c>
      <c r="E45" s="6" t="s">
        <v>263</v>
      </c>
      <c r="AD45" s="6" t="s">
        <v>281</v>
      </c>
      <c r="AE45" s="6" t="str">
        <f t="shared" si="3"/>
        <v>OK</v>
      </c>
      <c r="AF45" s="6">
        <f t="shared" si="4"/>
        <v>0</v>
      </c>
      <c r="AG45" s="6">
        <f t="shared" si="5"/>
        <v>0</v>
      </c>
    </row>
    <row r="46" spans="1:33" x14ac:dyDescent="0.25">
      <c r="A46" s="6" t="s">
        <v>1</v>
      </c>
      <c r="B46" s="6" t="s">
        <v>139</v>
      </c>
      <c r="C46" s="6" t="s">
        <v>49</v>
      </c>
      <c r="D46" s="6" t="s">
        <v>50</v>
      </c>
      <c r="E46" s="6" t="s">
        <v>262</v>
      </c>
      <c r="AD46" s="6" t="s">
        <v>281</v>
      </c>
      <c r="AE46" s="6" t="str">
        <f t="shared" si="3"/>
        <v>OK</v>
      </c>
      <c r="AF46" s="6">
        <f t="shared" si="4"/>
        <v>0</v>
      </c>
      <c r="AG46" s="6">
        <f t="shared" si="5"/>
        <v>0</v>
      </c>
    </row>
    <row r="47" spans="1:33" x14ac:dyDescent="0.25">
      <c r="A47" s="6" t="s">
        <v>1</v>
      </c>
      <c r="B47" s="6" t="s">
        <v>140</v>
      </c>
      <c r="C47" s="6" t="s">
        <v>49</v>
      </c>
      <c r="D47" s="6" t="s">
        <v>50</v>
      </c>
      <c r="E47" s="6" t="s">
        <v>263</v>
      </c>
      <c r="AD47" s="6" t="s">
        <v>281</v>
      </c>
      <c r="AE47" s="6" t="str">
        <f t="shared" si="3"/>
        <v>OK</v>
      </c>
      <c r="AF47" s="6">
        <f t="shared" si="4"/>
        <v>0</v>
      </c>
      <c r="AG47" s="6">
        <f t="shared" si="5"/>
        <v>0</v>
      </c>
    </row>
    <row r="48" spans="1:33" x14ac:dyDescent="0.25">
      <c r="A48" s="6" t="s">
        <v>1</v>
      </c>
      <c r="B48" s="6" t="s">
        <v>141</v>
      </c>
      <c r="C48" s="6" t="s">
        <v>49</v>
      </c>
      <c r="D48" s="6" t="s">
        <v>50</v>
      </c>
      <c r="E48" s="6" t="s">
        <v>262</v>
      </c>
      <c r="AD48" s="6" t="s">
        <v>281</v>
      </c>
      <c r="AE48" s="6" t="str">
        <f t="shared" si="3"/>
        <v>OK</v>
      </c>
      <c r="AF48" s="6">
        <f t="shared" si="4"/>
        <v>0</v>
      </c>
      <c r="AG48" s="6">
        <f t="shared" si="5"/>
        <v>0</v>
      </c>
    </row>
    <row r="49" spans="1:33" x14ac:dyDescent="0.25">
      <c r="A49" s="6" t="s">
        <v>1</v>
      </c>
      <c r="B49" s="6" t="s">
        <v>142</v>
      </c>
      <c r="C49" s="6" t="s">
        <v>49</v>
      </c>
      <c r="D49" s="6" t="s">
        <v>50</v>
      </c>
      <c r="E49" s="6" t="s">
        <v>263</v>
      </c>
      <c r="AD49" s="6" t="s">
        <v>281</v>
      </c>
      <c r="AE49" s="6" t="str">
        <f t="shared" si="3"/>
        <v>OK</v>
      </c>
      <c r="AF49" s="6">
        <f t="shared" si="4"/>
        <v>0</v>
      </c>
      <c r="AG49" s="6">
        <f t="shared" si="5"/>
        <v>0</v>
      </c>
    </row>
    <row r="50" spans="1:33" x14ac:dyDescent="0.25">
      <c r="A50" s="6" t="s">
        <v>1</v>
      </c>
      <c r="B50" s="6" t="s">
        <v>143</v>
      </c>
      <c r="C50" s="6" t="s">
        <v>49</v>
      </c>
      <c r="D50" s="6" t="s">
        <v>50</v>
      </c>
      <c r="E50" s="6" t="s">
        <v>262</v>
      </c>
      <c r="AD50" s="6" t="s">
        <v>281</v>
      </c>
      <c r="AE50" s="6" t="str">
        <f t="shared" si="3"/>
        <v>OK</v>
      </c>
      <c r="AF50" s="6">
        <f t="shared" si="4"/>
        <v>0</v>
      </c>
      <c r="AG50" s="6">
        <f t="shared" si="5"/>
        <v>0</v>
      </c>
    </row>
    <row r="51" spans="1:33" x14ac:dyDescent="0.25">
      <c r="A51" s="6" t="s">
        <v>1</v>
      </c>
      <c r="B51" s="6" t="s">
        <v>144</v>
      </c>
      <c r="C51" s="6" t="s">
        <v>49</v>
      </c>
      <c r="D51" s="6" t="s">
        <v>50</v>
      </c>
      <c r="E51" s="6" t="s">
        <v>262</v>
      </c>
      <c r="AD51" s="6" t="s">
        <v>281</v>
      </c>
      <c r="AE51" s="6" t="str">
        <f t="shared" si="3"/>
        <v>OK</v>
      </c>
      <c r="AF51" s="6">
        <f t="shared" si="4"/>
        <v>0</v>
      </c>
      <c r="AG51" s="6">
        <f t="shared" si="5"/>
        <v>0</v>
      </c>
    </row>
    <row r="52" spans="1:33" x14ac:dyDescent="0.25">
      <c r="A52" s="6" t="s">
        <v>1</v>
      </c>
      <c r="B52" s="6" t="s">
        <v>145</v>
      </c>
      <c r="C52" s="6" t="s">
        <v>49</v>
      </c>
      <c r="D52" s="6" t="s">
        <v>50</v>
      </c>
      <c r="E52" s="6" t="s">
        <v>262</v>
      </c>
      <c r="AD52" s="6" t="s">
        <v>281</v>
      </c>
      <c r="AE52" s="6" t="str">
        <f t="shared" si="3"/>
        <v>OK</v>
      </c>
      <c r="AF52" s="6">
        <f t="shared" si="4"/>
        <v>0</v>
      </c>
      <c r="AG52" s="6">
        <f t="shared" si="5"/>
        <v>0</v>
      </c>
    </row>
    <row r="53" spans="1:33" x14ac:dyDescent="0.25">
      <c r="A53" s="6" t="s">
        <v>1</v>
      </c>
      <c r="B53" s="6" t="s">
        <v>146</v>
      </c>
      <c r="C53" s="6" t="s">
        <v>49</v>
      </c>
      <c r="D53" s="6" t="s">
        <v>50</v>
      </c>
      <c r="E53" s="6" t="s">
        <v>263</v>
      </c>
      <c r="AD53" s="6" t="s">
        <v>281</v>
      </c>
      <c r="AE53" s="6" t="str">
        <f t="shared" si="3"/>
        <v>OK</v>
      </c>
      <c r="AF53" s="6">
        <f t="shared" si="4"/>
        <v>0</v>
      </c>
      <c r="AG53" s="6">
        <f t="shared" si="5"/>
        <v>0</v>
      </c>
    </row>
    <row r="54" spans="1:33" x14ac:dyDescent="0.25">
      <c r="A54" s="6" t="s">
        <v>1</v>
      </c>
      <c r="B54" s="6" t="s">
        <v>147</v>
      </c>
      <c r="C54" s="6" t="s">
        <v>49</v>
      </c>
      <c r="D54" s="6" t="s">
        <v>50</v>
      </c>
      <c r="E54" s="6" t="s">
        <v>262</v>
      </c>
      <c r="AD54" s="6" t="s">
        <v>281</v>
      </c>
      <c r="AE54" s="6" t="str">
        <f t="shared" si="3"/>
        <v>OK</v>
      </c>
      <c r="AF54" s="6">
        <f t="shared" si="4"/>
        <v>0</v>
      </c>
      <c r="AG54" s="6">
        <f t="shared" si="5"/>
        <v>0</v>
      </c>
    </row>
    <row r="55" spans="1:33" x14ac:dyDescent="0.25">
      <c r="A55" s="6" t="s">
        <v>1</v>
      </c>
      <c r="B55" s="6" t="s">
        <v>148</v>
      </c>
      <c r="C55" s="6" t="s">
        <v>49</v>
      </c>
      <c r="D55" s="6" t="s">
        <v>50</v>
      </c>
      <c r="E55" s="6" t="s">
        <v>263</v>
      </c>
      <c r="AD55" s="6" t="s">
        <v>281</v>
      </c>
      <c r="AE55" s="6" t="str">
        <f t="shared" si="3"/>
        <v>OK</v>
      </c>
      <c r="AF55" s="6">
        <f t="shared" si="4"/>
        <v>0</v>
      </c>
      <c r="AG55" s="6">
        <f t="shared" si="5"/>
        <v>0</v>
      </c>
    </row>
    <row r="56" spans="1:33" x14ac:dyDescent="0.25">
      <c r="A56" s="6" t="s">
        <v>1</v>
      </c>
      <c r="B56" s="6" t="s">
        <v>149</v>
      </c>
      <c r="C56" s="6" t="s">
        <v>49</v>
      </c>
      <c r="D56" s="6" t="s">
        <v>50</v>
      </c>
      <c r="E56" s="6" t="s">
        <v>262</v>
      </c>
      <c r="AD56" s="6" t="s">
        <v>281</v>
      </c>
      <c r="AE56" s="6" t="str">
        <f t="shared" si="3"/>
        <v>OK</v>
      </c>
      <c r="AF56" s="6">
        <f t="shared" si="4"/>
        <v>0</v>
      </c>
      <c r="AG56" s="6">
        <f t="shared" si="5"/>
        <v>0</v>
      </c>
    </row>
    <row r="57" spans="1:33" x14ac:dyDescent="0.25">
      <c r="A57" s="6" t="s">
        <v>1</v>
      </c>
      <c r="B57" s="6" t="s">
        <v>150</v>
      </c>
      <c r="C57" s="6" t="s">
        <v>49</v>
      </c>
      <c r="D57" s="6" t="s">
        <v>50</v>
      </c>
      <c r="E57" s="6" t="s">
        <v>263</v>
      </c>
      <c r="AD57" s="6" t="s">
        <v>281</v>
      </c>
      <c r="AE57" s="6" t="str">
        <f t="shared" si="3"/>
        <v>OK</v>
      </c>
      <c r="AF57" s="6">
        <f t="shared" si="4"/>
        <v>0</v>
      </c>
      <c r="AG57" s="6">
        <f t="shared" si="5"/>
        <v>0</v>
      </c>
    </row>
    <row r="58" spans="1:33" x14ac:dyDescent="0.25">
      <c r="A58" s="6" t="s">
        <v>1</v>
      </c>
      <c r="B58" s="6" t="s">
        <v>151</v>
      </c>
      <c r="C58" s="6" t="s">
        <v>49</v>
      </c>
      <c r="D58" s="6" t="s">
        <v>50</v>
      </c>
      <c r="E58" s="6" t="s">
        <v>263</v>
      </c>
      <c r="AD58" s="6" t="s">
        <v>281</v>
      </c>
      <c r="AE58" s="6" t="str">
        <f t="shared" si="3"/>
        <v>OK</v>
      </c>
      <c r="AF58" s="6">
        <f t="shared" si="4"/>
        <v>0</v>
      </c>
      <c r="AG58" s="6">
        <f t="shared" si="5"/>
        <v>0</v>
      </c>
    </row>
    <row r="59" spans="1:33" x14ac:dyDescent="0.25">
      <c r="A59" s="6" t="s">
        <v>1</v>
      </c>
      <c r="B59" s="6" t="s">
        <v>152</v>
      </c>
      <c r="C59" s="6" t="s">
        <v>49</v>
      </c>
      <c r="D59" s="6" t="s">
        <v>50</v>
      </c>
      <c r="E59" s="6" t="s">
        <v>262</v>
      </c>
      <c r="AD59" s="6" t="s">
        <v>281</v>
      </c>
      <c r="AE59" s="6" t="str">
        <f t="shared" si="3"/>
        <v>OK</v>
      </c>
      <c r="AF59" s="6">
        <f t="shared" si="4"/>
        <v>0</v>
      </c>
      <c r="AG59" s="6">
        <f t="shared" si="5"/>
        <v>0</v>
      </c>
    </row>
    <row r="60" spans="1:33" x14ac:dyDescent="0.25">
      <c r="A60" s="6" t="s">
        <v>1</v>
      </c>
      <c r="B60" s="6" t="s">
        <v>153</v>
      </c>
      <c r="C60" s="6" t="s">
        <v>49</v>
      </c>
      <c r="D60" s="6" t="s">
        <v>50</v>
      </c>
      <c r="E60" s="6" t="s">
        <v>263</v>
      </c>
      <c r="AD60" s="6" t="s">
        <v>281</v>
      </c>
      <c r="AE60" s="6" t="str">
        <f t="shared" si="3"/>
        <v>OK</v>
      </c>
      <c r="AF60" s="6">
        <f t="shared" si="4"/>
        <v>0</v>
      </c>
      <c r="AG60" s="6">
        <f t="shared" si="5"/>
        <v>0</v>
      </c>
    </row>
    <row r="61" spans="1:33" x14ac:dyDescent="0.25">
      <c r="A61" s="6" t="s">
        <v>1</v>
      </c>
      <c r="B61" s="6" t="s">
        <v>154</v>
      </c>
      <c r="C61" s="6" t="s">
        <v>49</v>
      </c>
      <c r="D61" s="6" t="s">
        <v>50</v>
      </c>
      <c r="E61" s="6" t="s">
        <v>263</v>
      </c>
      <c r="AD61" s="6" t="s">
        <v>281</v>
      </c>
      <c r="AE61" s="6" t="str">
        <f t="shared" si="3"/>
        <v>OK</v>
      </c>
      <c r="AF61" s="6">
        <f t="shared" si="4"/>
        <v>0</v>
      </c>
      <c r="AG61" s="6">
        <f t="shared" si="5"/>
        <v>0</v>
      </c>
    </row>
    <row r="62" spans="1:33" x14ac:dyDescent="0.25">
      <c r="A62" s="6" t="s">
        <v>1</v>
      </c>
      <c r="B62" s="6" t="s">
        <v>155</v>
      </c>
      <c r="C62" s="6" t="s">
        <v>49</v>
      </c>
      <c r="D62" s="6" t="s">
        <v>50</v>
      </c>
      <c r="E62" s="6" t="s">
        <v>263</v>
      </c>
      <c r="AD62" s="6" t="s">
        <v>281</v>
      </c>
      <c r="AE62" s="6" t="str">
        <f t="shared" si="3"/>
        <v>OK</v>
      </c>
      <c r="AF62" s="6">
        <f t="shared" si="4"/>
        <v>0</v>
      </c>
      <c r="AG62" s="6">
        <f t="shared" si="5"/>
        <v>0</v>
      </c>
    </row>
    <row r="63" spans="1:33" x14ac:dyDescent="0.25">
      <c r="A63" s="6" t="s">
        <v>1</v>
      </c>
      <c r="B63" s="6" t="s">
        <v>156</v>
      </c>
      <c r="C63" s="6" t="s">
        <v>49</v>
      </c>
      <c r="D63" s="6" t="s">
        <v>50</v>
      </c>
      <c r="E63" s="6" t="s">
        <v>263</v>
      </c>
      <c r="AD63" s="6" t="s">
        <v>281</v>
      </c>
      <c r="AE63" s="6" t="str">
        <f t="shared" si="3"/>
        <v>OK</v>
      </c>
      <c r="AF63" s="6">
        <f t="shared" si="4"/>
        <v>0</v>
      </c>
      <c r="AG63" s="6">
        <f t="shared" si="5"/>
        <v>0</v>
      </c>
    </row>
    <row r="64" spans="1:33" x14ac:dyDescent="0.25">
      <c r="A64" s="6" t="s">
        <v>1</v>
      </c>
      <c r="B64" s="6" t="s">
        <v>157</v>
      </c>
      <c r="C64" s="6" t="s">
        <v>49</v>
      </c>
      <c r="D64" s="6" t="s">
        <v>50</v>
      </c>
      <c r="E64" s="6" t="s">
        <v>262</v>
      </c>
      <c r="AD64" s="6" t="s">
        <v>281</v>
      </c>
      <c r="AE64" s="6" t="str">
        <f t="shared" si="3"/>
        <v>OK</v>
      </c>
      <c r="AF64" s="6">
        <f t="shared" si="4"/>
        <v>0</v>
      </c>
      <c r="AG64" s="6">
        <f t="shared" si="5"/>
        <v>0</v>
      </c>
    </row>
    <row r="65" spans="1:33" x14ac:dyDescent="0.25">
      <c r="A65" s="6" t="s">
        <v>1</v>
      </c>
      <c r="B65" s="6" t="s">
        <v>158</v>
      </c>
      <c r="C65" s="6" t="s">
        <v>49</v>
      </c>
      <c r="D65" s="6" t="s">
        <v>50</v>
      </c>
      <c r="E65" s="6" t="s">
        <v>263</v>
      </c>
      <c r="AD65" s="6" t="s">
        <v>281</v>
      </c>
      <c r="AE65" s="6" t="str">
        <f t="shared" si="3"/>
        <v>OK</v>
      </c>
      <c r="AF65" s="6">
        <f t="shared" si="4"/>
        <v>0</v>
      </c>
      <c r="AG65" s="6">
        <f t="shared" si="5"/>
        <v>0</v>
      </c>
    </row>
    <row r="66" spans="1:33" x14ac:dyDescent="0.25">
      <c r="A66" s="6" t="s">
        <v>1</v>
      </c>
      <c r="B66" s="6" t="s">
        <v>159</v>
      </c>
      <c r="C66" s="6" t="s">
        <v>49</v>
      </c>
      <c r="D66" s="6" t="s">
        <v>50</v>
      </c>
      <c r="E66" s="6" t="s">
        <v>263</v>
      </c>
      <c r="AD66" s="6" t="s">
        <v>281</v>
      </c>
      <c r="AE66" s="6" t="str">
        <f t="shared" ref="AE66:AE97" si="6">IF(TRIM(B66)="","PENDENTE","OK")</f>
        <v>OK</v>
      </c>
      <c r="AF66" s="6">
        <f t="shared" ref="AF66:AF97" si="7">IF(AE66="PENDENTE",1,0)</f>
        <v>0</v>
      </c>
      <c r="AG66" s="6">
        <f t="shared" ref="AG66:AG97" si="8">IF(LEFT(UPPER(TRIM(U66)),3)="SIM",1,0)</f>
        <v>0</v>
      </c>
    </row>
    <row r="67" spans="1:33" x14ac:dyDescent="0.25">
      <c r="A67" s="6" t="s">
        <v>1</v>
      </c>
      <c r="B67" s="6" t="s">
        <v>160</v>
      </c>
      <c r="C67" s="6" t="s">
        <v>49</v>
      </c>
      <c r="D67" s="6" t="s">
        <v>50</v>
      </c>
      <c r="E67" s="6" t="s">
        <v>263</v>
      </c>
      <c r="AD67" s="6" t="s">
        <v>281</v>
      </c>
      <c r="AE67" s="6" t="str">
        <f t="shared" si="6"/>
        <v>OK</v>
      </c>
      <c r="AF67" s="6">
        <f t="shared" si="7"/>
        <v>0</v>
      </c>
      <c r="AG67" s="6">
        <f t="shared" si="8"/>
        <v>0</v>
      </c>
    </row>
    <row r="68" spans="1:33" x14ac:dyDescent="0.25">
      <c r="A68" s="6" t="s">
        <v>1</v>
      </c>
      <c r="B68" s="6" t="s">
        <v>161</v>
      </c>
      <c r="C68" s="6" t="s">
        <v>49</v>
      </c>
      <c r="D68" s="6" t="s">
        <v>50</v>
      </c>
      <c r="E68" s="6" t="s">
        <v>262</v>
      </c>
      <c r="AD68" s="6" t="s">
        <v>281</v>
      </c>
      <c r="AE68" s="6" t="str">
        <f t="shared" si="6"/>
        <v>OK</v>
      </c>
      <c r="AF68" s="6">
        <f t="shared" si="7"/>
        <v>0</v>
      </c>
      <c r="AG68" s="6">
        <f t="shared" si="8"/>
        <v>0</v>
      </c>
    </row>
    <row r="69" spans="1:33" x14ac:dyDescent="0.25">
      <c r="A69" s="6" t="s">
        <v>1</v>
      </c>
      <c r="B69" s="6" t="s">
        <v>162</v>
      </c>
      <c r="C69" s="6" t="s">
        <v>49</v>
      </c>
      <c r="D69" s="6" t="s">
        <v>50</v>
      </c>
      <c r="E69" s="6" t="s">
        <v>263</v>
      </c>
      <c r="AD69" s="6" t="s">
        <v>281</v>
      </c>
      <c r="AE69" s="6" t="str">
        <f t="shared" si="6"/>
        <v>OK</v>
      </c>
      <c r="AF69" s="6">
        <f t="shared" si="7"/>
        <v>0</v>
      </c>
      <c r="AG69" s="6">
        <f t="shared" si="8"/>
        <v>0</v>
      </c>
    </row>
    <row r="70" spans="1:33" x14ac:dyDescent="0.25">
      <c r="A70" s="6" t="s">
        <v>1</v>
      </c>
      <c r="B70" s="6" t="s">
        <v>163</v>
      </c>
      <c r="C70" s="6" t="s">
        <v>49</v>
      </c>
      <c r="D70" s="6" t="s">
        <v>50</v>
      </c>
      <c r="E70" s="6" t="s">
        <v>263</v>
      </c>
      <c r="AD70" s="6" t="s">
        <v>281</v>
      </c>
      <c r="AE70" s="6" t="str">
        <f t="shared" si="6"/>
        <v>OK</v>
      </c>
      <c r="AF70" s="6">
        <f t="shared" si="7"/>
        <v>0</v>
      </c>
      <c r="AG70" s="6">
        <f t="shared" si="8"/>
        <v>0</v>
      </c>
    </row>
    <row r="71" spans="1:33" x14ac:dyDescent="0.25">
      <c r="A71" s="6" t="s">
        <v>1</v>
      </c>
      <c r="B71" s="6" t="s">
        <v>164</v>
      </c>
      <c r="C71" s="6" t="s">
        <v>49</v>
      </c>
      <c r="D71" s="6" t="s">
        <v>50</v>
      </c>
      <c r="E71" s="6" t="s">
        <v>263</v>
      </c>
      <c r="AD71" s="6" t="s">
        <v>281</v>
      </c>
      <c r="AE71" s="6" t="str">
        <f t="shared" si="6"/>
        <v>OK</v>
      </c>
      <c r="AF71" s="6">
        <f t="shared" si="7"/>
        <v>0</v>
      </c>
      <c r="AG71" s="6">
        <f t="shared" si="8"/>
        <v>0</v>
      </c>
    </row>
    <row r="72" spans="1:33" x14ac:dyDescent="0.25">
      <c r="A72" s="6" t="s">
        <v>1</v>
      </c>
      <c r="B72" s="6" t="s">
        <v>165</v>
      </c>
      <c r="C72" s="6" t="s">
        <v>49</v>
      </c>
      <c r="D72" s="6" t="s">
        <v>50</v>
      </c>
      <c r="E72" s="6" t="s">
        <v>263</v>
      </c>
      <c r="AD72" s="6" t="s">
        <v>281</v>
      </c>
      <c r="AE72" s="6" t="str">
        <f t="shared" si="6"/>
        <v>OK</v>
      </c>
      <c r="AF72" s="6">
        <f t="shared" si="7"/>
        <v>0</v>
      </c>
      <c r="AG72" s="6">
        <f t="shared" si="8"/>
        <v>0</v>
      </c>
    </row>
    <row r="73" spans="1:33" x14ac:dyDescent="0.25">
      <c r="A73" s="6" t="s">
        <v>1</v>
      </c>
      <c r="B73" s="6" t="s">
        <v>166</v>
      </c>
      <c r="C73" s="6" t="s">
        <v>49</v>
      </c>
      <c r="D73" s="6" t="s">
        <v>50</v>
      </c>
      <c r="E73" s="6" t="s">
        <v>263</v>
      </c>
      <c r="AD73" s="6" t="s">
        <v>281</v>
      </c>
      <c r="AE73" s="6" t="str">
        <f t="shared" si="6"/>
        <v>OK</v>
      </c>
      <c r="AF73" s="6">
        <f t="shared" si="7"/>
        <v>0</v>
      </c>
      <c r="AG73" s="6">
        <f t="shared" si="8"/>
        <v>0</v>
      </c>
    </row>
    <row r="74" spans="1:33" x14ac:dyDescent="0.25">
      <c r="A74" s="6" t="s">
        <v>1</v>
      </c>
      <c r="B74" s="6" t="s">
        <v>167</v>
      </c>
      <c r="C74" s="6" t="s">
        <v>49</v>
      </c>
      <c r="D74" s="6" t="s">
        <v>50</v>
      </c>
      <c r="E74" s="6" t="s">
        <v>262</v>
      </c>
      <c r="AD74" s="6" t="s">
        <v>281</v>
      </c>
      <c r="AE74" s="6" t="str">
        <f t="shared" si="6"/>
        <v>OK</v>
      </c>
      <c r="AF74" s="6">
        <f t="shared" si="7"/>
        <v>0</v>
      </c>
      <c r="AG74" s="6">
        <f t="shared" si="8"/>
        <v>0</v>
      </c>
    </row>
    <row r="75" spans="1:33" x14ac:dyDescent="0.25">
      <c r="A75" s="6" t="s">
        <v>1</v>
      </c>
      <c r="B75" s="6" t="s">
        <v>168</v>
      </c>
      <c r="C75" s="6" t="s">
        <v>49</v>
      </c>
      <c r="D75" s="6" t="s">
        <v>50</v>
      </c>
      <c r="E75" s="6" t="s">
        <v>264</v>
      </c>
      <c r="AD75" s="6" t="s">
        <v>281</v>
      </c>
      <c r="AE75" s="6" t="str">
        <f t="shared" si="6"/>
        <v>OK</v>
      </c>
      <c r="AF75" s="6">
        <f t="shared" si="7"/>
        <v>0</v>
      </c>
      <c r="AG75" s="6">
        <f t="shared" si="8"/>
        <v>0</v>
      </c>
    </row>
    <row r="76" spans="1:33" x14ac:dyDescent="0.25">
      <c r="A76" s="6" t="s">
        <v>1</v>
      </c>
      <c r="B76" s="6" t="s">
        <v>169</v>
      </c>
      <c r="C76" s="6" t="s">
        <v>49</v>
      </c>
      <c r="D76" s="6" t="s">
        <v>50</v>
      </c>
      <c r="E76" s="6" t="s">
        <v>263</v>
      </c>
      <c r="AD76" s="6" t="s">
        <v>281</v>
      </c>
      <c r="AE76" s="6" t="str">
        <f t="shared" si="6"/>
        <v>OK</v>
      </c>
      <c r="AF76" s="6">
        <f t="shared" si="7"/>
        <v>0</v>
      </c>
      <c r="AG76" s="6">
        <f t="shared" si="8"/>
        <v>0</v>
      </c>
    </row>
    <row r="77" spans="1:33" x14ac:dyDescent="0.25">
      <c r="A77" s="6" t="s">
        <v>1</v>
      </c>
      <c r="B77" s="6" t="s">
        <v>170</v>
      </c>
      <c r="C77" s="6" t="s">
        <v>49</v>
      </c>
      <c r="D77" s="6" t="s">
        <v>50</v>
      </c>
      <c r="E77" s="6" t="s">
        <v>262</v>
      </c>
      <c r="AD77" s="6" t="s">
        <v>281</v>
      </c>
      <c r="AE77" s="6" t="str">
        <f t="shared" si="6"/>
        <v>OK</v>
      </c>
      <c r="AF77" s="6">
        <f t="shared" si="7"/>
        <v>0</v>
      </c>
      <c r="AG77" s="6">
        <f t="shared" si="8"/>
        <v>0</v>
      </c>
    </row>
    <row r="78" spans="1:33" x14ac:dyDescent="0.25">
      <c r="A78" s="6" t="s">
        <v>1</v>
      </c>
      <c r="B78" s="6" t="s">
        <v>171</v>
      </c>
      <c r="C78" s="6" t="s">
        <v>49</v>
      </c>
      <c r="D78" s="6" t="s">
        <v>50</v>
      </c>
      <c r="E78" s="6" t="s">
        <v>263</v>
      </c>
      <c r="AD78" s="6" t="s">
        <v>281</v>
      </c>
      <c r="AE78" s="6" t="str">
        <f t="shared" si="6"/>
        <v>OK</v>
      </c>
      <c r="AF78" s="6">
        <f t="shared" si="7"/>
        <v>0</v>
      </c>
      <c r="AG78" s="6">
        <f t="shared" si="8"/>
        <v>0</v>
      </c>
    </row>
    <row r="79" spans="1:33" x14ac:dyDescent="0.25">
      <c r="A79" s="6" t="s">
        <v>1</v>
      </c>
      <c r="B79" s="6" t="s">
        <v>172</v>
      </c>
      <c r="C79" s="6" t="s">
        <v>49</v>
      </c>
      <c r="D79" s="6" t="s">
        <v>50</v>
      </c>
      <c r="E79" s="6" t="s">
        <v>263</v>
      </c>
      <c r="AD79" s="6" t="s">
        <v>281</v>
      </c>
      <c r="AE79" s="6" t="str">
        <f t="shared" si="6"/>
        <v>OK</v>
      </c>
      <c r="AF79" s="6">
        <f t="shared" si="7"/>
        <v>0</v>
      </c>
      <c r="AG79" s="6">
        <f t="shared" si="8"/>
        <v>0</v>
      </c>
    </row>
    <row r="80" spans="1:33" x14ac:dyDescent="0.25">
      <c r="A80" s="6" t="s">
        <v>1</v>
      </c>
      <c r="B80" s="6" t="s">
        <v>173</v>
      </c>
      <c r="C80" s="6" t="s">
        <v>49</v>
      </c>
      <c r="D80" s="6" t="s">
        <v>50</v>
      </c>
      <c r="E80" s="6" t="s">
        <v>263</v>
      </c>
      <c r="AD80" s="6" t="s">
        <v>281</v>
      </c>
      <c r="AE80" s="6" t="str">
        <f t="shared" si="6"/>
        <v>OK</v>
      </c>
      <c r="AF80" s="6">
        <f t="shared" si="7"/>
        <v>0</v>
      </c>
      <c r="AG80" s="6">
        <f t="shared" si="8"/>
        <v>0</v>
      </c>
    </row>
    <row r="81" spans="1:33" x14ac:dyDescent="0.25">
      <c r="A81" s="6" t="s">
        <v>1</v>
      </c>
      <c r="B81" s="6" t="s">
        <v>174</v>
      </c>
      <c r="C81" s="6" t="s">
        <v>49</v>
      </c>
      <c r="D81" s="6" t="s">
        <v>50</v>
      </c>
      <c r="E81" s="6" t="s">
        <v>262</v>
      </c>
      <c r="AD81" s="6" t="s">
        <v>281</v>
      </c>
      <c r="AE81" s="6" t="str">
        <f t="shared" si="6"/>
        <v>OK</v>
      </c>
      <c r="AF81" s="6">
        <f t="shared" si="7"/>
        <v>0</v>
      </c>
      <c r="AG81" s="6">
        <f t="shared" si="8"/>
        <v>0</v>
      </c>
    </row>
    <row r="82" spans="1:33" x14ac:dyDescent="0.25">
      <c r="A82" s="6" t="s">
        <v>1</v>
      </c>
      <c r="B82" s="6" t="s">
        <v>175</v>
      </c>
      <c r="C82" s="6" t="s">
        <v>49</v>
      </c>
      <c r="D82" s="6" t="s">
        <v>50</v>
      </c>
      <c r="E82" s="6" t="s">
        <v>263</v>
      </c>
      <c r="AD82" s="6" t="s">
        <v>281</v>
      </c>
      <c r="AE82" s="6" t="str">
        <f t="shared" si="6"/>
        <v>OK</v>
      </c>
      <c r="AF82" s="6">
        <f t="shared" si="7"/>
        <v>0</v>
      </c>
      <c r="AG82" s="6">
        <f t="shared" si="8"/>
        <v>0</v>
      </c>
    </row>
    <row r="83" spans="1:33" x14ac:dyDescent="0.25">
      <c r="A83" s="6" t="s">
        <v>1</v>
      </c>
      <c r="B83" s="6" t="s">
        <v>176</v>
      </c>
      <c r="C83" s="6" t="s">
        <v>49</v>
      </c>
      <c r="D83" s="6" t="s">
        <v>50</v>
      </c>
      <c r="E83" s="6" t="s">
        <v>262</v>
      </c>
      <c r="AD83" s="6" t="s">
        <v>281</v>
      </c>
      <c r="AE83" s="6" t="str">
        <f t="shared" si="6"/>
        <v>OK</v>
      </c>
      <c r="AF83" s="6">
        <f t="shared" si="7"/>
        <v>0</v>
      </c>
      <c r="AG83" s="6">
        <f t="shared" si="8"/>
        <v>0</v>
      </c>
    </row>
    <row r="84" spans="1:33" x14ac:dyDescent="0.25">
      <c r="A84" s="6" t="s">
        <v>1</v>
      </c>
      <c r="B84" s="6" t="s">
        <v>177</v>
      </c>
      <c r="C84" s="6" t="s">
        <v>49</v>
      </c>
      <c r="D84" s="6" t="s">
        <v>50</v>
      </c>
      <c r="E84" s="6" t="s">
        <v>263</v>
      </c>
      <c r="AD84" s="6" t="s">
        <v>281</v>
      </c>
      <c r="AE84" s="6" t="str">
        <f t="shared" si="6"/>
        <v>OK</v>
      </c>
      <c r="AF84" s="6">
        <f t="shared" si="7"/>
        <v>0</v>
      </c>
      <c r="AG84" s="6">
        <f t="shared" si="8"/>
        <v>0</v>
      </c>
    </row>
    <row r="85" spans="1:33" x14ac:dyDescent="0.25">
      <c r="A85" s="6" t="s">
        <v>1</v>
      </c>
      <c r="B85" s="6" t="s">
        <v>178</v>
      </c>
      <c r="C85" s="6" t="s">
        <v>49</v>
      </c>
      <c r="D85" s="6" t="s">
        <v>50</v>
      </c>
      <c r="E85" s="6" t="s">
        <v>263</v>
      </c>
      <c r="AD85" s="6" t="s">
        <v>281</v>
      </c>
      <c r="AE85" s="6" t="str">
        <f t="shared" si="6"/>
        <v>OK</v>
      </c>
      <c r="AF85" s="6">
        <f t="shared" si="7"/>
        <v>0</v>
      </c>
      <c r="AG85" s="6">
        <f t="shared" si="8"/>
        <v>0</v>
      </c>
    </row>
    <row r="86" spans="1:33" x14ac:dyDescent="0.25">
      <c r="A86" s="6" t="s">
        <v>1</v>
      </c>
      <c r="B86" s="6" t="s">
        <v>179</v>
      </c>
      <c r="C86" s="6" t="s">
        <v>49</v>
      </c>
      <c r="D86" s="6" t="s">
        <v>50</v>
      </c>
      <c r="E86" s="6" t="s">
        <v>262</v>
      </c>
      <c r="AD86" s="6" t="s">
        <v>281</v>
      </c>
      <c r="AE86" s="6" t="str">
        <f t="shared" si="6"/>
        <v>OK</v>
      </c>
      <c r="AF86" s="6">
        <f t="shared" si="7"/>
        <v>0</v>
      </c>
      <c r="AG86" s="6">
        <f t="shared" si="8"/>
        <v>0</v>
      </c>
    </row>
    <row r="87" spans="1:33" x14ac:dyDescent="0.25">
      <c r="A87" s="6" t="s">
        <v>1</v>
      </c>
      <c r="B87" s="6" t="s">
        <v>180</v>
      </c>
      <c r="C87" s="6" t="s">
        <v>49</v>
      </c>
      <c r="D87" s="6" t="s">
        <v>50</v>
      </c>
      <c r="E87" s="6" t="s">
        <v>262</v>
      </c>
      <c r="AD87" s="6" t="s">
        <v>281</v>
      </c>
      <c r="AE87" s="6" t="str">
        <f t="shared" si="6"/>
        <v>OK</v>
      </c>
      <c r="AF87" s="6">
        <f t="shared" si="7"/>
        <v>0</v>
      </c>
      <c r="AG87" s="6">
        <f t="shared" si="8"/>
        <v>0</v>
      </c>
    </row>
    <row r="88" spans="1:33" x14ac:dyDescent="0.25">
      <c r="A88" s="6" t="s">
        <v>1</v>
      </c>
      <c r="B88" s="6" t="s">
        <v>181</v>
      </c>
      <c r="C88" s="6" t="s">
        <v>49</v>
      </c>
      <c r="D88" s="6" t="s">
        <v>50</v>
      </c>
      <c r="E88" s="6" t="s">
        <v>263</v>
      </c>
      <c r="AD88" s="6" t="s">
        <v>281</v>
      </c>
      <c r="AE88" s="6" t="str">
        <f t="shared" si="6"/>
        <v>OK</v>
      </c>
      <c r="AF88" s="6">
        <f t="shared" si="7"/>
        <v>0</v>
      </c>
      <c r="AG88" s="6">
        <f t="shared" si="8"/>
        <v>0</v>
      </c>
    </row>
    <row r="89" spans="1:33" x14ac:dyDescent="0.25">
      <c r="A89" s="6" t="s">
        <v>1</v>
      </c>
      <c r="B89" s="6" t="s">
        <v>182</v>
      </c>
      <c r="C89" s="6" t="s">
        <v>49</v>
      </c>
      <c r="D89" s="6" t="s">
        <v>50</v>
      </c>
      <c r="E89" s="6" t="s">
        <v>262</v>
      </c>
      <c r="AD89" s="6" t="s">
        <v>281</v>
      </c>
      <c r="AE89" s="6" t="str">
        <f t="shared" si="6"/>
        <v>OK</v>
      </c>
      <c r="AF89" s="6">
        <f t="shared" si="7"/>
        <v>0</v>
      </c>
      <c r="AG89" s="6">
        <f t="shared" si="8"/>
        <v>0</v>
      </c>
    </row>
    <row r="90" spans="1:33" x14ac:dyDescent="0.25">
      <c r="A90" s="6" t="s">
        <v>1</v>
      </c>
      <c r="B90" s="6" t="s">
        <v>183</v>
      </c>
      <c r="C90" s="6" t="s">
        <v>49</v>
      </c>
      <c r="D90" s="6" t="s">
        <v>50</v>
      </c>
      <c r="E90" s="6" t="s">
        <v>263</v>
      </c>
      <c r="AD90" s="6" t="s">
        <v>281</v>
      </c>
      <c r="AE90" s="6" t="str">
        <f t="shared" si="6"/>
        <v>OK</v>
      </c>
      <c r="AF90" s="6">
        <f t="shared" si="7"/>
        <v>0</v>
      </c>
      <c r="AG90" s="6">
        <f t="shared" si="8"/>
        <v>0</v>
      </c>
    </row>
    <row r="91" spans="1:33" x14ac:dyDescent="0.25">
      <c r="A91" s="6" t="s">
        <v>1</v>
      </c>
      <c r="B91" s="6" t="s">
        <v>184</v>
      </c>
      <c r="C91" s="6" t="s">
        <v>49</v>
      </c>
      <c r="D91" s="6" t="s">
        <v>50</v>
      </c>
      <c r="E91" s="6" t="s">
        <v>262</v>
      </c>
      <c r="AD91" s="6" t="s">
        <v>281</v>
      </c>
      <c r="AE91" s="6" t="str">
        <f t="shared" si="6"/>
        <v>OK</v>
      </c>
      <c r="AF91" s="6">
        <f t="shared" si="7"/>
        <v>0</v>
      </c>
      <c r="AG91" s="6">
        <f t="shared" si="8"/>
        <v>0</v>
      </c>
    </row>
    <row r="92" spans="1:33" x14ac:dyDescent="0.25">
      <c r="A92" s="6" t="s">
        <v>1</v>
      </c>
      <c r="B92" s="6" t="s">
        <v>185</v>
      </c>
      <c r="C92" s="6" t="s">
        <v>49</v>
      </c>
      <c r="D92" s="6" t="s">
        <v>50</v>
      </c>
      <c r="E92" s="6" t="s">
        <v>264</v>
      </c>
      <c r="AD92" s="6" t="s">
        <v>281</v>
      </c>
      <c r="AE92" s="6" t="str">
        <f t="shared" si="6"/>
        <v>OK</v>
      </c>
      <c r="AF92" s="6">
        <f t="shared" si="7"/>
        <v>0</v>
      </c>
      <c r="AG92" s="6">
        <f t="shared" si="8"/>
        <v>0</v>
      </c>
    </row>
    <row r="93" spans="1:33" x14ac:dyDescent="0.25">
      <c r="A93" s="6" t="s">
        <v>1</v>
      </c>
      <c r="B93" s="6" t="s">
        <v>186</v>
      </c>
      <c r="C93" s="6" t="s">
        <v>49</v>
      </c>
      <c r="D93" s="6" t="s">
        <v>50</v>
      </c>
      <c r="E93" s="6" t="s">
        <v>263</v>
      </c>
      <c r="AD93" s="6" t="s">
        <v>281</v>
      </c>
      <c r="AE93" s="6" t="str">
        <f t="shared" si="6"/>
        <v>OK</v>
      </c>
      <c r="AF93" s="6">
        <f t="shared" si="7"/>
        <v>0</v>
      </c>
      <c r="AG93" s="6">
        <f t="shared" si="8"/>
        <v>0</v>
      </c>
    </row>
    <row r="94" spans="1:33" x14ac:dyDescent="0.25">
      <c r="A94" s="6" t="s">
        <v>1</v>
      </c>
      <c r="B94" s="6" t="s">
        <v>187</v>
      </c>
      <c r="C94" s="6" t="s">
        <v>49</v>
      </c>
      <c r="D94" s="6" t="s">
        <v>50</v>
      </c>
      <c r="E94" s="6" t="s">
        <v>263</v>
      </c>
      <c r="AD94" s="6" t="s">
        <v>281</v>
      </c>
      <c r="AE94" s="6" t="str">
        <f t="shared" si="6"/>
        <v>OK</v>
      </c>
      <c r="AF94" s="6">
        <f t="shared" si="7"/>
        <v>0</v>
      </c>
      <c r="AG94" s="6">
        <f t="shared" si="8"/>
        <v>0</v>
      </c>
    </row>
    <row r="95" spans="1:33" x14ac:dyDescent="0.25">
      <c r="A95" s="6" t="s">
        <v>1</v>
      </c>
      <c r="B95" s="6" t="s">
        <v>188</v>
      </c>
      <c r="C95" s="6" t="s">
        <v>49</v>
      </c>
      <c r="D95" s="6" t="s">
        <v>50</v>
      </c>
      <c r="E95" s="6" t="s">
        <v>262</v>
      </c>
      <c r="AD95" s="6" t="s">
        <v>281</v>
      </c>
      <c r="AE95" s="6" t="str">
        <f t="shared" si="6"/>
        <v>OK</v>
      </c>
      <c r="AF95" s="6">
        <f t="shared" si="7"/>
        <v>0</v>
      </c>
      <c r="AG95" s="6">
        <f t="shared" si="8"/>
        <v>0</v>
      </c>
    </row>
    <row r="96" spans="1:33" x14ac:dyDescent="0.25">
      <c r="A96" s="6" t="s">
        <v>1</v>
      </c>
      <c r="B96" s="6" t="s">
        <v>189</v>
      </c>
      <c r="C96" s="6" t="s">
        <v>49</v>
      </c>
      <c r="D96" s="6" t="s">
        <v>50</v>
      </c>
      <c r="E96" s="6" t="s">
        <v>264</v>
      </c>
      <c r="AD96" s="6" t="s">
        <v>281</v>
      </c>
      <c r="AE96" s="6" t="str">
        <f t="shared" si="6"/>
        <v>OK</v>
      </c>
      <c r="AF96" s="6">
        <f t="shared" si="7"/>
        <v>0</v>
      </c>
      <c r="AG96" s="6">
        <f t="shared" si="8"/>
        <v>0</v>
      </c>
    </row>
    <row r="97" spans="1:33" x14ac:dyDescent="0.25">
      <c r="A97" s="6" t="s">
        <v>1</v>
      </c>
      <c r="B97" s="6" t="s">
        <v>190</v>
      </c>
      <c r="C97" s="6" t="s">
        <v>49</v>
      </c>
      <c r="D97" s="6" t="s">
        <v>50</v>
      </c>
      <c r="E97" s="6" t="s">
        <v>262</v>
      </c>
      <c r="AD97" s="6" t="s">
        <v>281</v>
      </c>
      <c r="AE97" s="6" t="str">
        <f t="shared" si="6"/>
        <v>OK</v>
      </c>
      <c r="AF97" s="6">
        <f t="shared" si="7"/>
        <v>0</v>
      </c>
      <c r="AG97" s="6">
        <f t="shared" si="8"/>
        <v>0</v>
      </c>
    </row>
    <row r="98" spans="1:33" x14ac:dyDescent="0.25">
      <c r="A98" s="6" t="s">
        <v>1</v>
      </c>
      <c r="B98" s="6" t="s">
        <v>191</v>
      </c>
      <c r="C98" s="6" t="s">
        <v>49</v>
      </c>
      <c r="D98" s="6" t="s">
        <v>50</v>
      </c>
      <c r="E98" s="6" t="s">
        <v>264</v>
      </c>
      <c r="AD98" s="6" t="s">
        <v>281</v>
      </c>
      <c r="AE98" s="6" t="str">
        <f t="shared" ref="AE98:AE129" si="9">IF(TRIM(B98)="","PENDENTE","OK")</f>
        <v>OK</v>
      </c>
      <c r="AF98" s="6">
        <f t="shared" ref="AF98:AF129" si="10">IF(AE98="PENDENTE",1,0)</f>
        <v>0</v>
      </c>
      <c r="AG98" s="6">
        <f t="shared" ref="AG98:AG129" si="11">IF(LEFT(UPPER(TRIM(U98)),3)="SIM",1,0)</f>
        <v>0</v>
      </c>
    </row>
    <row r="99" spans="1:33" x14ac:dyDescent="0.25">
      <c r="A99" s="6" t="s">
        <v>1</v>
      </c>
      <c r="B99" s="6" t="s">
        <v>192</v>
      </c>
      <c r="C99" s="6" t="s">
        <v>49</v>
      </c>
      <c r="D99" s="6" t="s">
        <v>50</v>
      </c>
      <c r="E99" s="6" t="s">
        <v>262</v>
      </c>
      <c r="AD99" s="6" t="s">
        <v>281</v>
      </c>
      <c r="AE99" s="6" t="str">
        <f t="shared" si="9"/>
        <v>OK</v>
      </c>
      <c r="AF99" s="6">
        <f t="shared" si="10"/>
        <v>0</v>
      </c>
      <c r="AG99" s="6">
        <f t="shared" si="11"/>
        <v>0</v>
      </c>
    </row>
    <row r="100" spans="1:33" x14ac:dyDescent="0.25">
      <c r="A100" s="6" t="s">
        <v>1</v>
      </c>
      <c r="B100" s="6" t="s">
        <v>193</v>
      </c>
      <c r="C100" s="6" t="s">
        <v>49</v>
      </c>
      <c r="D100" s="6" t="s">
        <v>50</v>
      </c>
      <c r="E100" s="6" t="s">
        <v>264</v>
      </c>
      <c r="AD100" s="6" t="s">
        <v>281</v>
      </c>
      <c r="AE100" s="6" t="str">
        <f t="shared" si="9"/>
        <v>OK</v>
      </c>
      <c r="AF100" s="6">
        <f t="shared" si="10"/>
        <v>0</v>
      </c>
      <c r="AG100" s="6">
        <f t="shared" si="11"/>
        <v>0</v>
      </c>
    </row>
    <row r="101" spans="1:33" x14ac:dyDescent="0.25">
      <c r="A101" s="6" t="s">
        <v>1</v>
      </c>
      <c r="B101" s="6" t="s">
        <v>194</v>
      </c>
      <c r="C101" s="6" t="s">
        <v>49</v>
      </c>
      <c r="D101" s="6" t="s">
        <v>50</v>
      </c>
      <c r="E101" s="6" t="s">
        <v>262</v>
      </c>
      <c r="AD101" s="6" t="s">
        <v>281</v>
      </c>
      <c r="AE101" s="6" t="str">
        <f t="shared" si="9"/>
        <v>OK</v>
      </c>
      <c r="AF101" s="6">
        <f t="shared" si="10"/>
        <v>0</v>
      </c>
      <c r="AG101" s="6">
        <f t="shared" si="11"/>
        <v>0</v>
      </c>
    </row>
    <row r="102" spans="1:33" x14ac:dyDescent="0.25">
      <c r="A102" s="6" t="s">
        <v>1</v>
      </c>
      <c r="B102" s="6" t="s">
        <v>195</v>
      </c>
      <c r="C102" s="6" t="s">
        <v>49</v>
      </c>
      <c r="D102" s="6" t="s">
        <v>50</v>
      </c>
      <c r="E102" s="6" t="s">
        <v>263</v>
      </c>
      <c r="AD102" s="6" t="s">
        <v>281</v>
      </c>
      <c r="AE102" s="6" t="str">
        <f t="shared" si="9"/>
        <v>OK</v>
      </c>
      <c r="AF102" s="6">
        <f t="shared" si="10"/>
        <v>0</v>
      </c>
      <c r="AG102" s="6">
        <f t="shared" si="11"/>
        <v>0</v>
      </c>
    </row>
    <row r="103" spans="1:33" x14ac:dyDescent="0.25">
      <c r="A103" s="6" t="s">
        <v>1</v>
      </c>
      <c r="B103" s="6" t="s">
        <v>196</v>
      </c>
      <c r="C103" s="6" t="s">
        <v>49</v>
      </c>
      <c r="D103" s="6" t="s">
        <v>50</v>
      </c>
      <c r="E103" s="6" t="s">
        <v>262</v>
      </c>
      <c r="AD103" s="6" t="s">
        <v>281</v>
      </c>
      <c r="AE103" s="6" t="str">
        <f t="shared" si="9"/>
        <v>OK</v>
      </c>
      <c r="AF103" s="6">
        <f t="shared" si="10"/>
        <v>0</v>
      </c>
      <c r="AG103" s="6">
        <f t="shared" si="11"/>
        <v>0</v>
      </c>
    </row>
    <row r="104" spans="1:33" x14ac:dyDescent="0.25">
      <c r="A104" s="6" t="s">
        <v>1</v>
      </c>
      <c r="B104" s="6" t="s">
        <v>197</v>
      </c>
      <c r="C104" s="6" t="s">
        <v>49</v>
      </c>
      <c r="D104" s="6" t="s">
        <v>50</v>
      </c>
      <c r="E104" s="6" t="s">
        <v>264</v>
      </c>
      <c r="AD104" s="6" t="s">
        <v>281</v>
      </c>
      <c r="AE104" s="6" t="str">
        <f t="shared" si="9"/>
        <v>OK</v>
      </c>
      <c r="AF104" s="6">
        <f t="shared" si="10"/>
        <v>0</v>
      </c>
      <c r="AG104" s="6">
        <f t="shared" si="11"/>
        <v>0</v>
      </c>
    </row>
    <row r="105" spans="1:33" x14ac:dyDescent="0.25">
      <c r="A105" s="6" t="s">
        <v>1</v>
      </c>
      <c r="B105" s="6" t="s">
        <v>198</v>
      </c>
      <c r="C105" s="6" t="s">
        <v>49</v>
      </c>
      <c r="D105" s="6" t="s">
        <v>50</v>
      </c>
      <c r="E105" s="6" t="s">
        <v>262</v>
      </c>
      <c r="AD105" s="6" t="s">
        <v>281</v>
      </c>
      <c r="AE105" s="6" t="str">
        <f t="shared" si="9"/>
        <v>OK</v>
      </c>
      <c r="AF105" s="6">
        <f t="shared" si="10"/>
        <v>0</v>
      </c>
      <c r="AG105" s="6">
        <f t="shared" si="11"/>
        <v>0</v>
      </c>
    </row>
    <row r="106" spans="1:33" x14ac:dyDescent="0.25">
      <c r="A106" s="6" t="s">
        <v>1</v>
      </c>
      <c r="B106" s="6" t="s">
        <v>199</v>
      </c>
      <c r="C106" s="6" t="s">
        <v>49</v>
      </c>
      <c r="D106" s="6" t="s">
        <v>50</v>
      </c>
      <c r="E106" s="6" t="s">
        <v>262</v>
      </c>
      <c r="AD106" s="6" t="s">
        <v>281</v>
      </c>
      <c r="AE106" s="6" t="str">
        <f t="shared" si="9"/>
        <v>OK</v>
      </c>
      <c r="AF106" s="6">
        <f t="shared" si="10"/>
        <v>0</v>
      </c>
      <c r="AG106" s="6">
        <f t="shared" si="11"/>
        <v>0</v>
      </c>
    </row>
    <row r="107" spans="1:33" x14ac:dyDescent="0.25">
      <c r="A107" s="6" t="s">
        <v>1</v>
      </c>
      <c r="B107" s="6" t="s">
        <v>200</v>
      </c>
      <c r="C107" s="6" t="s">
        <v>49</v>
      </c>
      <c r="D107" s="6" t="s">
        <v>50</v>
      </c>
      <c r="E107" s="6" t="s">
        <v>263</v>
      </c>
      <c r="AD107" s="6" t="s">
        <v>281</v>
      </c>
      <c r="AE107" s="6" t="str">
        <f t="shared" si="9"/>
        <v>OK</v>
      </c>
      <c r="AF107" s="6">
        <f t="shared" si="10"/>
        <v>0</v>
      </c>
      <c r="AG107" s="6">
        <f t="shared" si="11"/>
        <v>0</v>
      </c>
    </row>
    <row r="108" spans="1:33" x14ac:dyDescent="0.25">
      <c r="A108" s="6" t="s">
        <v>1</v>
      </c>
      <c r="B108" s="6" t="s">
        <v>201</v>
      </c>
      <c r="C108" s="6" t="s">
        <v>49</v>
      </c>
      <c r="D108" s="6" t="s">
        <v>50</v>
      </c>
      <c r="E108" s="6" t="s">
        <v>263</v>
      </c>
      <c r="AD108" s="6" t="s">
        <v>281</v>
      </c>
      <c r="AE108" s="6" t="str">
        <f t="shared" si="9"/>
        <v>OK</v>
      </c>
      <c r="AF108" s="6">
        <f t="shared" si="10"/>
        <v>0</v>
      </c>
      <c r="AG108" s="6">
        <f t="shared" si="11"/>
        <v>0</v>
      </c>
    </row>
    <row r="109" spans="1:33" x14ac:dyDescent="0.25">
      <c r="A109" s="6" t="s">
        <v>1</v>
      </c>
      <c r="B109" s="6" t="s">
        <v>202</v>
      </c>
      <c r="C109" s="6" t="s">
        <v>49</v>
      </c>
      <c r="D109" s="6" t="s">
        <v>50</v>
      </c>
      <c r="E109" s="6" t="s">
        <v>264</v>
      </c>
      <c r="AD109" s="6" t="s">
        <v>281</v>
      </c>
      <c r="AE109" s="6" t="str">
        <f t="shared" si="9"/>
        <v>OK</v>
      </c>
      <c r="AF109" s="6">
        <f t="shared" si="10"/>
        <v>0</v>
      </c>
      <c r="AG109" s="6">
        <f t="shared" si="11"/>
        <v>0</v>
      </c>
    </row>
    <row r="110" spans="1:33" x14ac:dyDescent="0.25">
      <c r="A110" s="6" t="s">
        <v>1</v>
      </c>
      <c r="B110" s="6" t="s">
        <v>203</v>
      </c>
      <c r="C110" s="6" t="s">
        <v>49</v>
      </c>
      <c r="D110" s="6" t="s">
        <v>50</v>
      </c>
      <c r="E110" s="6" t="s">
        <v>262</v>
      </c>
      <c r="AD110" s="6" t="s">
        <v>281</v>
      </c>
      <c r="AE110" s="6" t="str">
        <f t="shared" si="9"/>
        <v>OK</v>
      </c>
      <c r="AF110" s="6">
        <f t="shared" si="10"/>
        <v>0</v>
      </c>
      <c r="AG110" s="6">
        <f t="shared" si="11"/>
        <v>0</v>
      </c>
    </row>
    <row r="111" spans="1:33" x14ac:dyDescent="0.25">
      <c r="A111" s="6" t="s">
        <v>1</v>
      </c>
      <c r="B111" s="6" t="s">
        <v>204</v>
      </c>
      <c r="C111" s="6" t="s">
        <v>49</v>
      </c>
      <c r="D111" s="6" t="s">
        <v>50</v>
      </c>
      <c r="E111" s="6" t="s">
        <v>264</v>
      </c>
      <c r="AD111" s="6" t="s">
        <v>281</v>
      </c>
      <c r="AE111" s="6" t="str">
        <f t="shared" si="9"/>
        <v>OK</v>
      </c>
      <c r="AF111" s="6">
        <f t="shared" si="10"/>
        <v>0</v>
      </c>
      <c r="AG111" s="6">
        <f t="shared" si="11"/>
        <v>0</v>
      </c>
    </row>
    <row r="112" spans="1:33" x14ac:dyDescent="0.25">
      <c r="A112" s="6" t="s">
        <v>1</v>
      </c>
      <c r="B112" s="6" t="s">
        <v>205</v>
      </c>
      <c r="C112" s="6" t="s">
        <v>49</v>
      </c>
      <c r="D112" s="6" t="s">
        <v>50</v>
      </c>
      <c r="E112" s="6" t="s">
        <v>262</v>
      </c>
      <c r="AD112" s="6" t="s">
        <v>281</v>
      </c>
      <c r="AE112" s="6" t="str">
        <f t="shared" si="9"/>
        <v>OK</v>
      </c>
      <c r="AF112" s="6">
        <f t="shared" si="10"/>
        <v>0</v>
      </c>
      <c r="AG112" s="6">
        <f t="shared" si="11"/>
        <v>0</v>
      </c>
    </row>
    <row r="113" spans="1:33" x14ac:dyDescent="0.25">
      <c r="A113" s="6" t="s">
        <v>1</v>
      </c>
      <c r="B113" s="6" t="s">
        <v>206</v>
      </c>
      <c r="C113" s="6" t="s">
        <v>49</v>
      </c>
      <c r="D113" s="6" t="s">
        <v>50</v>
      </c>
      <c r="E113" s="6" t="s">
        <v>263</v>
      </c>
      <c r="AD113" s="6" t="s">
        <v>281</v>
      </c>
      <c r="AE113" s="6" t="str">
        <f t="shared" si="9"/>
        <v>OK</v>
      </c>
      <c r="AF113" s="6">
        <f t="shared" si="10"/>
        <v>0</v>
      </c>
      <c r="AG113" s="6">
        <f t="shared" si="11"/>
        <v>0</v>
      </c>
    </row>
    <row r="114" spans="1:33" x14ac:dyDescent="0.25">
      <c r="A114" s="6" t="s">
        <v>1</v>
      </c>
      <c r="B114" s="6" t="s">
        <v>207</v>
      </c>
      <c r="C114" s="6" t="s">
        <v>49</v>
      </c>
      <c r="D114" s="6" t="s">
        <v>50</v>
      </c>
      <c r="E114" s="6" t="s">
        <v>262</v>
      </c>
      <c r="AD114" s="6" t="s">
        <v>281</v>
      </c>
      <c r="AE114" s="6" t="str">
        <f t="shared" si="9"/>
        <v>OK</v>
      </c>
      <c r="AF114" s="6">
        <f t="shared" si="10"/>
        <v>0</v>
      </c>
      <c r="AG114" s="6">
        <f t="shared" si="11"/>
        <v>0</v>
      </c>
    </row>
    <row r="115" spans="1:33" x14ac:dyDescent="0.25">
      <c r="A115" s="6" t="s">
        <v>1</v>
      </c>
      <c r="B115" s="6" t="s">
        <v>208</v>
      </c>
      <c r="C115" s="6" t="s">
        <v>49</v>
      </c>
      <c r="D115" s="6" t="s">
        <v>50</v>
      </c>
      <c r="E115" s="6" t="s">
        <v>263</v>
      </c>
      <c r="AD115" s="6" t="s">
        <v>281</v>
      </c>
      <c r="AE115" s="6" t="str">
        <f t="shared" si="9"/>
        <v>OK</v>
      </c>
      <c r="AF115" s="6">
        <f t="shared" si="10"/>
        <v>0</v>
      </c>
      <c r="AG115" s="6">
        <f t="shared" si="11"/>
        <v>0</v>
      </c>
    </row>
    <row r="116" spans="1:33" x14ac:dyDescent="0.25">
      <c r="A116" s="6" t="s">
        <v>1</v>
      </c>
      <c r="B116" s="6" t="s">
        <v>209</v>
      </c>
      <c r="C116" s="6" t="s">
        <v>49</v>
      </c>
      <c r="D116" s="6" t="s">
        <v>50</v>
      </c>
      <c r="E116" s="6" t="s">
        <v>262</v>
      </c>
      <c r="AD116" s="6" t="s">
        <v>281</v>
      </c>
      <c r="AE116" s="6" t="str">
        <f t="shared" si="9"/>
        <v>OK</v>
      </c>
      <c r="AF116" s="6">
        <f t="shared" si="10"/>
        <v>0</v>
      </c>
      <c r="AG116" s="6">
        <f t="shared" si="11"/>
        <v>0</v>
      </c>
    </row>
    <row r="117" spans="1:33" x14ac:dyDescent="0.25">
      <c r="A117" s="6" t="s">
        <v>1</v>
      </c>
      <c r="B117" s="6" t="s">
        <v>210</v>
      </c>
      <c r="C117" s="6" t="s">
        <v>49</v>
      </c>
      <c r="D117" s="6" t="s">
        <v>50</v>
      </c>
      <c r="E117" s="6" t="s">
        <v>263</v>
      </c>
      <c r="AD117" s="6" t="s">
        <v>281</v>
      </c>
      <c r="AE117" s="6" t="str">
        <f t="shared" si="9"/>
        <v>OK</v>
      </c>
      <c r="AF117" s="6">
        <f t="shared" si="10"/>
        <v>0</v>
      </c>
      <c r="AG117" s="6">
        <f t="shared" si="11"/>
        <v>0</v>
      </c>
    </row>
    <row r="118" spans="1:33" x14ac:dyDescent="0.25">
      <c r="A118" s="6" t="s">
        <v>1</v>
      </c>
      <c r="B118" s="6" t="s">
        <v>211</v>
      </c>
      <c r="C118" s="6" t="s">
        <v>49</v>
      </c>
      <c r="D118" s="6" t="s">
        <v>50</v>
      </c>
      <c r="E118" s="6" t="s">
        <v>262</v>
      </c>
      <c r="AD118" s="6" t="s">
        <v>281</v>
      </c>
      <c r="AE118" s="6" t="str">
        <f t="shared" si="9"/>
        <v>OK</v>
      </c>
      <c r="AF118" s="6">
        <f t="shared" si="10"/>
        <v>0</v>
      </c>
      <c r="AG118" s="6">
        <f t="shared" si="11"/>
        <v>0</v>
      </c>
    </row>
    <row r="119" spans="1:33" x14ac:dyDescent="0.25">
      <c r="A119" s="6" t="s">
        <v>1</v>
      </c>
      <c r="B119" s="6" t="s">
        <v>212</v>
      </c>
      <c r="C119" s="6" t="s">
        <v>49</v>
      </c>
      <c r="D119" s="6" t="s">
        <v>50</v>
      </c>
      <c r="E119" s="6" t="s">
        <v>262</v>
      </c>
      <c r="AD119" s="6" t="s">
        <v>281</v>
      </c>
      <c r="AE119" s="6" t="str">
        <f t="shared" si="9"/>
        <v>OK</v>
      </c>
      <c r="AF119" s="6">
        <f t="shared" si="10"/>
        <v>0</v>
      </c>
      <c r="AG119" s="6">
        <f t="shared" si="11"/>
        <v>0</v>
      </c>
    </row>
    <row r="120" spans="1:33" x14ac:dyDescent="0.25">
      <c r="A120" s="6" t="s">
        <v>1</v>
      </c>
      <c r="B120" s="6" t="s">
        <v>213</v>
      </c>
      <c r="C120" s="6" t="s">
        <v>49</v>
      </c>
      <c r="D120" s="6" t="s">
        <v>50</v>
      </c>
      <c r="E120" s="6" t="s">
        <v>263</v>
      </c>
      <c r="AD120" s="6" t="s">
        <v>281</v>
      </c>
      <c r="AE120" s="6" t="str">
        <f t="shared" si="9"/>
        <v>OK</v>
      </c>
      <c r="AF120" s="6">
        <f t="shared" si="10"/>
        <v>0</v>
      </c>
      <c r="AG120" s="6">
        <f t="shared" si="11"/>
        <v>0</v>
      </c>
    </row>
    <row r="121" spans="1:33" x14ac:dyDescent="0.25">
      <c r="A121" s="6" t="s">
        <v>1</v>
      </c>
      <c r="B121" s="6" t="s">
        <v>214</v>
      </c>
      <c r="C121" s="6" t="s">
        <v>49</v>
      </c>
      <c r="D121" s="6" t="s">
        <v>50</v>
      </c>
      <c r="E121" s="6" t="s">
        <v>262</v>
      </c>
      <c r="AD121" s="6" t="s">
        <v>281</v>
      </c>
      <c r="AE121" s="6" t="str">
        <f t="shared" si="9"/>
        <v>OK</v>
      </c>
      <c r="AF121" s="6">
        <f t="shared" si="10"/>
        <v>0</v>
      </c>
      <c r="AG121" s="6">
        <f t="shared" si="11"/>
        <v>0</v>
      </c>
    </row>
    <row r="122" spans="1:33" x14ac:dyDescent="0.25">
      <c r="A122" s="6" t="s">
        <v>1</v>
      </c>
      <c r="B122" s="6" t="s">
        <v>215</v>
      </c>
      <c r="C122" s="6" t="s">
        <v>49</v>
      </c>
      <c r="D122" s="6" t="s">
        <v>50</v>
      </c>
      <c r="E122" s="6" t="s">
        <v>263</v>
      </c>
      <c r="AD122" s="6" t="s">
        <v>281</v>
      </c>
      <c r="AE122" s="6" t="str">
        <f t="shared" si="9"/>
        <v>OK</v>
      </c>
      <c r="AF122" s="6">
        <f t="shared" si="10"/>
        <v>0</v>
      </c>
      <c r="AG122" s="6">
        <f t="shared" si="11"/>
        <v>0</v>
      </c>
    </row>
    <row r="123" spans="1:33" x14ac:dyDescent="0.25">
      <c r="A123" s="6" t="s">
        <v>1</v>
      </c>
      <c r="B123" s="6" t="s">
        <v>216</v>
      </c>
      <c r="C123" s="6" t="s">
        <v>49</v>
      </c>
      <c r="D123" s="6" t="s">
        <v>50</v>
      </c>
      <c r="E123" s="6" t="s">
        <v>262</v>
      </c>
      <c r="AD123" s="6" t="s">
        <v>281</v>
      </c>
      <c r="AE123" s="6" t="str">
        <f t="shared" si="9"/>
        <v>OK</v>
      </c>
      <c r="AF123" s="6">
        <f t="shared" si="10"/>
        <v>0</v>
      </c>
      <c r="AG123" s="6">
        <f t="shared" si="11"/>
        <v>0</v>
      </c>
    </row>
    <row r="124" spans="1:33" x14ac:dyDescent="0.25">
      <c r="A124" s="6" t="s">
        <v>1</v>
      </c>
      <c r="B124" s="6" t="s">
        <v>217</v>
      </c>
      <c r="C124" s="6" t="s">
        <v>49</v>
      </c>
      <c r="D124" s="6" t="s">
        <v>50</v>
      </c>
      <c r="E124" s="6" t="s">
        <v>263</v>
      </c>
      <c r="AD124" s="6" t="s">
        <v>281</v>
      </c>
      <c r="AE124" s="6" t="str">
        <f t="shared" si="9"/>
        <v>OK</v>
      </c>
      <c r="AF124" s="6">
        <f t="shared" si="10"/>
        <v>0</v>
      </c>
      <c r="AG124" s="6">
        <f t="shared" si="11"/>
        <v>0</v>
      </c>
    </row>
    <row r="125" spans="1:33" x14ac:dyDescent="0.25">
      <c r="A125" s="6" t="s">
        <v>1</v>
      </c>
      <c r="B125" s="6" t="s">
        <v>218</v>
      </c>
      <c r="C125" s="6" t="s">
        <v>49</v>
      </c>
      <c r="D125" s="6" t="s">
        <v>50</v>
      </c>
      <c r="E125" s="6" t="s">
        <v>262</v>
      </c>
      <c r="AD125" s="6" t="s">
        <v>281</v>
      </c>
      <c r="AE125" s="6" t="str">
        <f t="shared" si="9"/>
        <v>OK</v>
      </c>
      <c r="AF125" s="6">
        <f t="shared" si="10"/>
        <v>0</v>
      </c>
      <c r="AG125" s="6">
        <f t="shared" si="11"/>
        <v>0</v>
      </c>
    </row>
    <row r="126" spans="1:33" x14ac:dyDescent="0.25">
      <c r="A126" s="6" t="s">
        <v>1</v>
      </c>
      <c r="B126" s="6" t="s">
        <v>219</v>
      </c>
      <c r="C126" s="6" t="s">
        <v>49</v>
      </c>
      <c r="D126" s="6" t="s">
        <v>50</v>
      </c>
      <c r="E126" s="6" t="s">
        <v>263</v>
      </c>
      <c r="AD126" s="6" t="s">
        <v>281</v>
      </c>
      <c r="AE126" s="6" t="str">
        <f t="shared" si="9"/>
        <v>OK</v>
      </c>
      <c r="AF126" s="6">
        <f t="shared" si="10"/>
        <v>0</v>
      </c>
      <c r="AG126" s="6">
        <f t="shared" si="11"/>
        <v>0</v>
      </c>
    </row>
    <row r="127" spans="1:33" x14ac:dyDescent="0.25">
      <c r="A127" s="6" t="s">
        <v>1</v>
      </c>
      <c r="B127" s="6" t="s">
        <v>220</v>
      </c>
      <c r="C127" s="6" t="s">
        <v>49</v>
      </c>
      <c r="D127" s="6" t="s">
        <v>50</v>
      </c>
      <c r="E127" s="6" t="s">
        <v>262</v>
      </c>
      <c r="AD127" s="6" t="s">
        <v>281</v>
      </c>
      <c r="AE127" s="6" t="str">
        <f t="shared" si="9"/>
        <v>OK</v>
      </c>
      <c r="AF127" s="6">
        <f t="shared" si="10"/>
        <v>0</v>
      </c>
      <c r="AG127" s="6">
        <f t="shared" si="11"/>
        <v>0</v>
      </c>
    </row>
    <row r="128" spans="1:33" x14ac:dyDescent="0.25">
      <c r="A128" s="6" t="s">
        <v>1</v>
      </c>
      <c r="B128" s="6" t="s">
        <v>221</v>
      </c>
      <c r="C128" s="6" t="s">
        <v>49</v>
      </c>
      <c r="D128" s="6" t="s">
        <v>50</v>
      </c>
      <c r="E128" s="6" t="s">
        <v>263</v>
      </c>
      <c r="AD128" s="6" t="s">
        <v>281</v>
      </c>
      <c r="AE128" s="6" t="str">
        <f t="shared" si="9"/>
        <v>OK</v>
      </c>
      <c r="AF128" s="6">
        <f t="shared" si="10"/>
        <v>0</v>
      </c>
      <c r="AG128" s="6">
        <f t="shared" si="11"/>
        <v>0</v>
      </c>
    </row>
    <row r="129" spans="1:33" x14ac:dyDescent="0.25">
      <c r="A129" s="6" t="s">
        <v>1</v>
      </c>
      <c r="B129" s="6" t="s">
        <v>222</v>
      </c>
      <c r="C129" s="6" t="s">
        <v>49</v>
      </c>
      <c r="D129" s="6" t="s">
        <v>50</v>
      </c>
      <c r="E129" s="6" t="s">
        <v>263</v>
      </c>
      <c r="AD129" s="6" t="s">
        <v>281</v>
      </c>
      <c r="AE129" s="6" t="str">
        <f t="shared" si="9"/>
        <v>OK</v>
      </c>
      <c r="AF129" s="6">
        <f t="shared" si="10"/>
        <v>0</v>
      </c>
      <c r="AG129" s="6">
        <f t="shared" si="11"/>
        <v>0</v>
      </c>
    </row>
    <row r="130" spans="1:33" x14ac:dyDescent="0.25">
      <c r="A130" s="6" t="s">
        <v>1</v>
      </c>
      <c r="B130" s="6" t="s">
        <v>223</v>
      </c>
      <c r="C130" s="6" t="s">
        <v>49</v>
      </c>
      <c r="D130" s="6" t="s">
        <v>50</v>
      </c>
      <c r="E130" s="6" t="s">
        <v>263</v>
      </c>
      <c r="AD130" s="6" t="s">
        <v>281</v>
      </c>
      <c r="AE130" s="6" t="str">
        <f t="shared" ref="AE130:AE161" si="12">IF(TRIM(B130)="","PENDENTE","OK")</f>
        <v>OK</v>
      </c>
      <c r="AF130" s="6">
        <f t="shared" ref="AF130:AF161" si="13">IF(AE130="PENDENTE",1,0)</f>
        <v>0</v>
      </c>
      <c r="AG130" s="6">
        <f t="shared" ref="AG130:AG161" si="14">IF(LEFT(UPPER(TRIM(U130)),3)="SIM",1,0)</f>
        <v>0</v>
      </c>
    </row>
    <row r="131" spans="1:33" x14ac:dyDescent="0.25">
      <c r="A131" s="6" t="s">
        <v>1</v>
      </c>
      <c r="B131" s="6" t="s">
        <v>224</v>
      </c>
      <c r="C131" s="6" t="s">
        <v>49</v>
      </c>
      <c r="D131" s="6" t="s">
        <v>50</v>
      </c>
      <c r="E131" s="6" t="s">
        <v>263</v>
      </c>
      <c r="AD131" s="6" t="s">
        <v>281</v>
      </c>
      <c r="AE131" s="6" t="str">
        <f t="shared" si="12"/>
        <v>OK</v>
      </c>
      <c r="AF131" s="6">
        <f t="shared" si="13"/>
        <v>0</v>
      </c>
      <c r="AG131" s="6">
        <f t="shared" si="14"/>
        <v>0</v>
      </c>
    </row>
    <row r="132" spans="1:33" x14ac:dyDescent="0.25">
      <c r="A132" s="6" t="s">
        <v>1</v>
      </c>
      <c r="B132" s="6" t="s">
        <v>225</v>
      </c>
      <c r="C132" s="6" t="s">
        <v>49</v>
      </c>
      <c r="D132" s="6" t="s">
        <v>50</v>
      </c>
      <c r="E132" s="6" t="s">
        <v>263</v>
      </c>
      <c r="AD132" s="6" t="s">
        <v>281</v>
      </c>
      <c r="AE132" s="6" t="str">
        <f t="shared" si="12"/>
        <v>OK</v>
      </c>
      <c r="AF132" s="6">
        <f t="shared" si="13"/>
        <v>0</v>
      </c>
      <c r="AG132" s="6">
        <f t="shared" si="14"/>
        <v>0</v>
      </c>
    </row>
    <row r="133" spans="1:33" x14ac:dyDescent="0.25">
      <c r="A133" s="6" t="s">
        <v>1</v>
      </c>
      <c r="B133" s="6" t="s">
        <v>226</v>
      </c>
      <c r="C133" s="6" t="s">
        <v>49</v>
      </c>
      <c r="D133" s="6" t="s">
        <v>50</v>
      </c>
      <c r="E133" s="6" t="s">
        <v>263</v>
      </c>
      <c r="AD133" s="6" t="s">
        <v>281</v>
      </c>
      <c r="AE133" s="6" t="str">
        <f t="shared" si="12"/>
        <v>OK</v>
      </c>
      <c r="AF133" s="6">
        <f t="shared" si="13"/>
        <v>0</v>
      </c>
      <c r="AG133" s="6">
        <f t="shared" si="14"/>
        <v>0</v>
      </c>
    </row>
    <row r="134" spans="1:33" x14ac:dyDescent="0.25">
      <c r="A134" s="6" t="s">
        <v>1</v>
      </c>
      <c r="B134" s="6" t="s">
        <v>227</v>
      </c>
      <c r="C134" s="6" t="s">
        <v>49</v>
      </c>
      <c r="D134" s="6" t="s">
        <v>50</v>
      </c>
      <c r="E134" s="6" t="s">
        <v>263</v>
      </c>
      <c r="AD134" s="6" t="s">
        <v>281</v>
      </c>
      <c r="AE134" s="6" t="str">
        <f t="shared" si="12"/>
        <v>OK</v>
      </c>
      <c r="AF134" s="6">
        <f t="shared" si="13"/>
        <v>0</v>
      </c>
      <c r="AG134" s="6">
        <f t="shared" si="14"/>
        <v>0</v>
      </c>
    </row>
    <row r="135" spans="1:33" x14ac:dyDescent="0.25">
      <c r="A135" s="6" t="s">
        <v>1</v>
      </c>
      <c r="B135" s="6" t="s">
        <v>228</v>
      </c>
      <c r="C135" s="6" t="s">
        <v>49</v>
      </c>
      <c r="D135" s="6" t="s">
        <v>50</v>
      </c>
      <c r="E135" s="6" t="s">
        <v>263</v>
      </c>
      <c r="AD135" s="6" t="s">
        <v>281</v>
      </c>
      <c r="AE135" s="6" t="str">
        <f t="shared" si="12"/>
        <v>OK</v>
      </c>
      <c r="AF135" s="6">
        <f t="shared" si="13"/>
        <v>0</v>
      </c>
      <c r="AG135" s="6">
        <f t="shared" si="14"/>
        <v>0</v>
      </c>
    </row>
    <row r="136" spans="1:33" x14ac:dyDescent="0.25">
      <c r="A136" s="6" t="s">
        <v>1</v>
      </c>
      <c r="B136" s="6" t="s">
        <v>229</v>
      </c>
      <c r="C136" s="6" t="s">
        <v>49</v>
      </c>
      <c r="D136" s="6" t="s">
        <v>50</v>
      </c>
      <c r="E136" s="6" t="s">
        <v>262</v>
      </c>
      <c r="AD136" s="6" t="s">
        <v>281</v>
      </c>
      <c r="AE136" s="6" t="str">
        <f t="shared" si="12"/>
        <v>OK</v>
      </c>
      <c r="AF136" s="6">
        <f t="shared" si="13"/>
        <v>0</v>
      </c>
      <c r="AG136" s="6">
        <f t="shared" si="14"/>
        <v>0</v>
      </c>
    </row>
    <row r="137" spans="1:33" x14ac:dyDescent="0.25">
      <c r="A137" s="6" t="s">
        <v>1</v>
      </c>
      <c r="B137" s="6" t="s">
        <v>230</v>
      </c>
      <c r="C137" s="6" t="s">
        <v>49</v>
      </c>
      <c r="D137" s="6" t="s">
        <v>50</v>
      </c>
      <c r="E137" s="6" t="s">
        <v>263</v>
      </c>
      <c r="AD137" s="6" t="s">
        <v>281</v>
      </c>
      <c r="AE137" s="6" t="str">
        <f t="shared" si="12"/>
        <v>OK</v>
      </c>
      <c r="AF137" s="6">
        <f t="shared" si="13"/>
        <v>0</v>
      </c>
      <c r="AG137" s="6">
        <f t="shared" si="14"/>
        <v>0</v>
      </c>
    </row>
    <row r="138" spans="1:33" x14ac:dyDescent="0.25">
      <c r="A138" s="6" t="s">
        <v>1</v>
      </c>
      <c r="B138" s="6" t="s">
        <v>231</v>
      </c>
      <c r="C138" s="6" t="s">
        <v>49</v>
      </c>
      <c r="D138" s="6" t="s">
        <v>50</v>
      </c>
      <c r="E138" s="6" t="s">
        <v>262</v>
      </c>
      <c r="AD138" s="6" t="s">
        <v>281</v>
      </c>
      <c r="AE138" s="6" t="str">
        <f t="shared" si="12"/>
        <v>OK</v>
      </c>
      <c r="AF138" s="6">
        <f t="shared" si="13"/>
        <v>0</v>
      </c>
      <c r="AG138" s="6">
        <f t="shared" si="14"/>
        <v>0</v>
      </c>
    </row>
    <row r="139" spans="1:33" x14ac:dyDescent="0.25">
      <c r="A139" s="6" t="s">
        <v>1</v>
      </c>
      <c r="B139" s="6" t="s">
        <v>232</v>
      </c>
      <c r="C139" s="6" t="s">
        <v>49</v>
      </c>
      <c r="D139" s="6" t="s">
        <v>50</v>
      </c>
      <c r="E139" s="6" t="s">
        <v>263</v>
      </c>
      <c r="AD139" s="6" t="s">
        <v>281</v>
      </c>
      <c r="AE139" s="6" t="str">
        <f t="shared" si="12"/>
        <v>OK</v>
      </c>
      <c r="AF139" s="6">
        <f t="shared" si="13"/>
        <v>0</v>
      </c>
      <c r="AG139" s="6">
        <f t="shared" si="14"/>
        <v>0</v>
      </c>
    </row>
    <row r="140" spans="1:33" x14ac:dyDescent="0.25">
      <c r="A140" s="6" t="s">
        <v>1</v>
      </c>
      <c r="B140" s="6" t="s">
        <v>233</v>
      </c>
      <c r="C140" s="6" t="s">
        <v>49</v>
      </c>
      <c r="D140" s="6" t="s">
        <v>50</v>
      </c>
      <c r="E140" s="6" t="s">
        <v>262</v>
      </c>
      <c r="AD140" s="6" t="s">
        <v>281</v>
      </c>
      <c r="AE140" s="6" t="str">
        <f t="shared" si="12"/>
        <v>OK</v>
      </c>
      <c r="AF140" s="6">
        <f t="shared" si="13"/>
        <v>0</v>
      </c>
      <c r="AG140" s="6">
        <f t="shared" si="14"/>
        <v>0</v>
      </c>
    </row>
    <row r="141" spans="1:33" x14ac:dyDescent="0.25">
      <c r="A141" s="6" t="s">
        <v>1</v>
      </c>
      <c r="B141" s="6" t="s">
        <v>234</v>
      </c>
      <c r="C141" s="6" t="s">
        <v>49</v>
      </c>
      <c r="D141" s="6" t="s">
        <v>50</v>
      </c>
      <c r="E141" s="6" t="s">
        <v>263</v>
      </c>
      <c r="AD141" s="6" t="s">
        <v>281</v>
      </c>
      <c r="AE141" s="6" t="str">
        <f t="shared" si="12"/>
        <v>OK</v>
      </c>
      <c r="AF141" s="6">
        <f t="shared" si="13"/>
        <v>0</v>
      </c>
      <c r="AG141" s="6">
        <f t="shared" si="14"/>
        <v>0</v>
      </c>
    </row>
    <row r="142" spans="1:33" x14ac:dyDescent="0.25">
      <c r="A142" s="6" t="s">
        <v>1</v>
      </c>
      <c r="B142" s="6" t="s">
        <v>235</v>
      </c>
      <c r="C142" s="6" t="s">
        <v>49</v>
      </c>
      <c r="D142" s="6" t="s">
        <v>50</v>
      </c>
      <c r="E142" s="6" t="s">
        <v>262</v>
      </c>
      <c r="AD142" s="6" t="s">
        <v>281</v>
      </c>
      <c r="AE142" s="6" t="str">
        <f t="shared" si="12"/>
        <v>OK</v>
      </c>
      <c r="AF142" s="6">
        <f t="shared" si="13"/>
        <v>0</v>
      </c>
      <c r="AG142" s="6">
        <f t="shared" si="14"/>
        <v>0</v>
      </c>
    </row>
    <row r="143" spans="1:33" x14ac:dyDescent="0.25">
      <c r="A143" s="6" t="s">
        <v>1</v>
      </c>
      <c r="B143" s="6" t="s">
        <v>236</v>
      </c>
      <c r="C143" s="6" t="s">
        <v>49</v>
      </c>
      <c r="D143" s="6" t="s">
        <v>50</v>
      </c>
      <c r="E143" s="6" t="s">
        <v>263</v>
      </c>
      <c r="AD143" s="6" t="s">
        <v>281</v>
      </c>
      <c r="AE143" s="6" t="str">
        <f t="shared" si="12"/>
        <v>OK</v>
      </c>
      <c r="AF143" s="6">
        <f t="shared" si="13"/>
        <v>0</v>
      </c>
      <c r="AG143" s="6">
        <f t="shared" si="14"/>
        <v>0</v>
      </c>
    </row>
    <row r="144" spans="1:33" x14ac:dyDescent="0.25">
      <c r="A144" s="6" t="s">
        <v>1</v>
      </c>
      <c r="B144" s="6" t="s">
        <v>237</v>
      </c>
      <c r="C144" s="6" t="s">
        <v>49</v>
      </c>
      <c r="D144" s="6" t="s">
        <v>50</v>
      </c>
      <c r="E144" s="6" t="s">
        <v>263</v>
      </c>
      <c r="AD144" s="6" t="s">
        <v>281</v>
      </c>
      <c r="AE144" s="6" t="str">
        <f t="shared" si="12"/>
        <v>OK</v>
      </c>
      <c r="AF144" s="6">
        <f t="shared" si="13"/>
        <v>0</v>
      </c>
      <c r="AG144" s="6">
        <f t="shared" si="14"/>
        <v>0</v>
      </c>
    </row>
    <row r="145" spans="1:33" x14ac:dyDescent="0.25">
      <c r="A145" s="6" t="s">
        <v>1</v>
      </c>
      <c r="B145" s="6" t="s">
        <v>238</v>
      </c>
      <c r="C145" s="6" t="s">
        <v>49</v>
      </c>
      <c r="D145" s="6" t="s">
        <v>50</v>
      </c>
      <c r="E145" s="6" t="s">
        <v>263</v>
      </c>
      <c r="AD145" s="6" t="s">
        <v>281</v>
      </c>
      <c r="AE145" s="6" t="str">
        <f t="shared" si="12"/>
        <v>OK</v>
      </c>
      <c r="AF145" s="6">
        <f t="shared" si="13"/>
        <v>0</v>
      </c>
      <c r="AG145" s="6">
        <f t="shared" si="14"/>
        <v>0</v>
      </c>
    </row>
    <row r="146" spans="1:33" x14ac:dyDescent="0.25">
      <c r="A146" s="6" t="s">
        <v>1</v>
      </c>
      <c r="B146" s="6" t="s">
        <v>239</v>
      </c>
      <c r="C146" s="6" t="s">
        <v>49</v>
      </c>
      <c r="D146" s="6" t="s">
        <v>50</v>
      </c>
      <c r="E146" s="6" t="s">
        <v>262</v>
      </c>
      <c r="AD146" s="6" t="s">
        <v>281</v>
      </c>
      <c r="AE146" s="6" t="str">
        <f t="shared" si="12"/>
        <v>OK</v>
      </c>
      <c r="AF146" s="6">
        <f t="shared" si="13"/>
        <v>0</v>
      </c>
      <c r="AG146" s="6">
        <f t="shared" si="14"/>
        <v>0</v>
      </c>
    </row>
    <row r="147" spans="1:33" x14ac:dyDescent="0.25">
      <c r="A147" s="6" t="s">
        <v>1</v>
      </c>
      <c r="B147" s="6" t="s">
        <v>240</v>
      </c>
      <c r="C147" s="6" t="s">
        <v>49</v>
      </c>
      <c r="D147" s="6" t="s">
        <v>50</v>
      </c>
      <c r="E147" s="6" t="s">
        <v>263</v>
      </c>
      <c r="AD147" s="6" t="s">
        <v>281</v>
      </c>
      <c r="AE147" s="6" t="str">
        <f t="shared" si="12"/>
        <v>OK</v>
      </c>
      <c r="AF147" s="6">
        <f t="shared" si="13"/>
        <v>0</v>
      </c>
      <c r="AG147" s="6">
        <f t="shared" si="14"/>
        <v>0</v>
      </c>
    </row>
    <row r="148" spans="1:33" x14ac:dyDescent="0.25">
      <c r="A148" s="6" t="s">
        <v>1</v>
      </c>
      <c r="B148" s="6" t="s">
        <v>241</v>
      </c>
      <c r="C148" s="6" t="s">
        <v>49</v>
      </c>
      <c r="D148" s="6" t="s">
        <v>50</v>
      </c>
      <c r="E148" s="6" t="s">
        <v>263</v>
      </c>
      <c r="AD148" s="6" t="s">
        <v>281</v>
      </c>
      <c r="AE148" s="6" t="str">
        <f t="shared" si="12"/>
        <v>OK</v>
      </c>
      <c r="AF148" s="6">
        <f t="shared" si="13"/>
        <v>0</v>
      </c>
      <c r="AG148" s="6">
        <f t="shared" si="14"/>
        <v>0</v>
      </c>
    </row>
    <row r="149" spans="1:33" x14ac:dyDescent="0.25">
      <c r="A149" s="6" t="s">
        <v>1</v>
      </c>
      <c r="B149" s="6" t="s">
        <v>242</v>
      </c>
      <c r="C149" s="6" t="s">
        <v>49</v>
      </c>
      <c r="D149" s="6" t="s">
        <v>50</v>
      </c>
      <c r="E149" s="6" t="s">
        <v>263</v>
      </c>
      <c r="AD149" s="6" t="s">
        <v>281</v>
      </c>
      <c r="AE149" s="6" t="str">
        <f t="shared" si="12"/>
        <v>OK</v>
      </c>
      <c r="AF149" s="6">
        <f t="shared" si="13"/>
        <v>0</v>
      </c>
      <c r="AG149" s="6">
        <f t="shared" si="14"/>
        <v>0</v>
      </c>
    </row>
    <row r="150" spans="1:33" x14ac:dyDescent="0.25">
      <c r="A150" s="6" t="s">
        <v>1</v>
      </c>
      <c r="B150" s="6" t="s">
        <v>243</v>
      </c>
      <c r="C150" s="6" t="s">
        <v>49</v>
      </c>
      <c r="D150" s="6" t="s">
        <v>50</v>
      </c>
      <c r="E150" s="6" t="s">
        <v>262</v>
      </c>
      <c r="AD150" s="6" t="s">
        <v>281</v>
      </c>
      <c r="AE150" s="6" t="str">
        <f t="shared" si="12"/>
        <v>OK</v>
      </c>
      <c r="AF150" s="6">
        <f t="shared" si="13"/>
        <v>0</v>
      </c>
      <c r="AG150" s="6">
        <f t="shared" si="14"/>
        <v>0</v>
      </c>
    </row>
    <row r="151" spans="1:33" x14ac:dyDescent="0.25">
      <c r="A151" s="6" t="s">
        <v>1</v>
      </c>
      <c r="B151" s="6" t="s">
        <v>244</v>
      </c>
      <c r="C151" s="6" t="s">
        <v>49</v>
      </c>
      <c r="D151" s="6" t="s">
        <v>50</v>
      </c>
      <c r="E151" s="6" t="s">
        <v>263</v>
      </c>
      <c r="AD151" s="6" t="s">
        <v>281</v>
      </c>
      <c r="AE151" s="6" t="str">
        <f t="shared" si="12"/>
        <v>OK</v>
      </c>
      <c r="AF151" s="6">
        <f t="shared" si="13"/>
        <v>0</v>
      </c>
      <c r="AG151" s="6">
        <f t="shared" si="14"/>
        <v>0</v>
      </c>
    </row>
    <row r="152" spans="1:33" x14ac:dyDescent="0.25">
      <c r="A152" s="6" t="s">
        <v>1</v>
      </c>
      <c r="B152" s="6" t="s">
        <v>245</v>
      </c>
      <c r="C152" s="6" t="s">
        <v>49</v>
      </c>
      <c r="D152" s="6" t="s">
        <v>50</v>
      </c>
      <c r="E152" s="6" t="s">
        <v>263</v>
      </c>
      <c r="AD152" s="6" t="s">
        <v>281</v>
      </c>
      <c r="AE152" s="6" t="str">
        <f t="shared" si="12"/>
        <v>OK</v>
      </c>
      <c r="AF152" s="6">
        <f t="shared" si="13"/>
        <v>0</v>
      </c>
      <c r="AG152" s="6">
        <f t="shared" si="14"/>
        <v>0</v>
      </c>
    </row>
    <row r="153" spans="1:33" x14ac:dyDescent="0.25">
      <c r="A153" s="6" t="s">
        <v>1</v>
      </c>
      <c r="B153" s="6" t="s">
        <v>246</v>
      </c>
      <c r="C153" s="6" t="s">
        <v>49</v>
      </c>
      <c r="D153" s="6" t="s">
        <v>50</v>
      </c>
      <c r="E153" s="6" t="s">
        <v>263</v>
      </c>
      <c r="AD153" s="6" t="s">
        <v>281</v>
      </c>
      <c r="AE153" s="6" t="str">
        <f t="shared" si="12"/>
        <v>OK</v>
      </c>
      <c r="AF153" s="6">
        <f t="shared" si="13"/>
        <v>0</v>
      </c>
      <c r="AG153" s="6">
        <f t="shared" si="14"/>
        <v>0</v>
      </c>
    </row>
    <row r="154" spans="1:33" x14ac:dyDescent="0.25">
      <c r="A154" s="6" t="s">
        <v>1</v>
      </c>
      <c r="B154" s="6" t="s">
        <v>247</v>
      </c>
      <c r="C154" s="6" t="s">
        <v>49</v>
      </c>
      <c r="D154" s="6" t="s">
        <v>50</v>
      </c>
      <c r="E154" s="6" t="s">
        <v>262</v>
      </c>
      <c r="AD154" s="6" t="s">
        <v>281</v>
      </c>
      <c r="AE154" s="6" t="str">
        <f t="shared" si="12"/>
        <v>OK</v>
      </c>
      <c r="AF154" s="6">
        <f t="shared" si="13"/>
        <v>0</v>
      </c>
      <c r="AG154" s="6">
        <f t="shared" si="14"/>
        <v>0</v>
      </c>
    </row>
    <row r="155" spans="1:33" x14ac:dyDescent="0.25">
      <c r="A155" s="6" t="s">
        <v>1</v>
      </c>
      <c r="B155" s="6" t="s">
        <v>248</v>
      </c>
      <c r="C155" s="6" t="s">
        <v>49</v>
      </c>
      <c r="D155" s="6" t="s">
        <v>50</v>
      </c>
      <c r="E155" s="6" t="s">
        <v>263</v>
      </c>
      <c r="AD155" s="6" t="s">
        <v>281</v>
      </c>
      <c r="AE155" s="6" t="str">
        <f t="shared" si="12"/>
        <v>OK</v>
      </c>
      <c r="AF155" s="6">
        <f t="shared" si="13"/>
        <v>0</v>
      </c>
      <c r="AG155" s="6">
        <f t="shared" si="14"/>
        <v>0</v>
      </c>
    </row>
    <row r="156" spans="1:33" x14ac:dyDescent="0.25">
      <c r="A156" s="6" t="s">
        <v>1</v>
      </c>
      <c r="B156" s="6" t="s">
        <v>249</v>
      </c>
      <c r="C156" s="6" t="s">
        <v>49</v>
      </c>
      <c r="D156" s="6" t="s">
        <v>50</v>
      </c>
      <c r="E156" s="6" t="s">
        <v>262</v>
      </c>
      <c r="AD156" s="6" t="s">
        <v>281</v>
      </c>
      <c r="AE156" s="6" t="str">
        <f t="shared" si="12"/>
        <v>OK</v>
      </c>
      <c r="AF156" s="6">
        <f t="shared" si="13"/>
        <v>0</v>
      </c>
      <c r="AG156" s="6">
        <f t="shared" si="14"/>
        <v>0</v>
      </c>
    </row>
    <row r="157" spans="1:33" x14ac:dyDescent="0.25">
      <c r="A157" s="6" t="s">
        <v>1</v>
      </c>
      <c r="B157" s="6" t="s">
        <v>250</v>
      </c>
      <c r="C157" s="6" t="s">
        <v>49</v>
      </c>
      <c r="D157" s="6" t="s">
        <v>50</v>
      </c>
      <c r="E157" s="6" t="s">
        <v>263</v>
      </c>
      <c r="AD157" s="6" t="s">
        <v>281</v>
      </c>
      <c r="AE157" s="6" t="str">
        <f t="shared" si="12"/>
        <v>OK</v>
      </c>
      <c r="AF157" s="6">
        <f t="shared" si="13"/>
        <v>0</v>
      </c>
      <c r="AG157" s="6">
        <f t="shared" si="14"/>
        <v>0</v>
      </c>
    </row>
    <row r="158" spans="1:33" x14ac:dyDescent="0.25">
      <c r="A158" s="6" t="s">
        <v>1</v>
      </c>
      <c r="B158" s="6" t="s">
        <v>251</v>
      </c>
      <c r="C158" s="6" t="s">
        <v>49</v>
      </c>
      <c r="D158" s="6" t="s">
        <v>50</v>
      </c>
      <c r="E158" s="6" t="s">
        <v>263</v>
      </c>
      <c r="AD158" s="6" t="s">
        <v>281</v>
      </c>
      <c r="AE158" s="6" t="str">
        <f t="shared" si="12"/>
        <v>OK</v>
      </c>
      <c r="AF158" s="6">
        <f t="shared" si="13"/>
        <v>0</v>
      </c>
      <c r="AG158" s="6">
        <f t="shared" si="14"/>
        <v>0</v>
      </c>
    </row>
    <row r="159" spans="1:33" x14ac:dyDescent="0.25">
      <c r="A159" s="6" t="s">
        <v>1</v>
      </c>
      <c r="B159" s="6" t="s">
        <v>252</v>
      </c>
      <c r="C159" s="6" t="s">
        <v>49</v>
      </c>
      <c r="D159" s="6" t="s">
        <v>50</v>
      </c>
      <c r="E159" s="6" t="s">
        <v>262</v>
      </c>
      <c r="AD159" s="6" t="s">
        <v>281</v>
      </c>
      <c r="AE159" s="6" t="str">
        <f t="shared" si="12"/>
        <v>OK</v>
      </c>
      <c r="AF159" s="6">
        <f t="shared" si="13"/>
        <v>0</v>
      </c>
      <c r="AG159" s="6">
        <f t="shared" si="14"/>
        <v>0</v>
      </c>
    </row>
    <row r="160" spans="1:33" x14ac:dyDescent="0.25">
      <c r="A160" s="6" t="s">
        <v>1</v>
      </c>
      <c r="B160" s="6" t="s">
        <v>253</v>
      </c>
      <c r="C160" s="6" t="s">
        <v>49</v>
      </c>
      <c r="D160" s="6" t="s">
        <v>50</v>
      </c>
      <c r="E160" s="6" t="s">
        <v>263</v>
      </c>
      <c r="AD160" s="6" t="s">
        <v>281</v>
      </c>
      <c r="AE160" s="6" t="str">
        <f t="shared" si="12"/>
        <v>OK</v>
      </c>
      <c r="AF160" s="6">
        <f t="shared" si="13"/>
        <v>0</v>
      </c>
      <c r="AG160" s="6">
        <f t="shared" si="14"/>
        <v>0</v>
      </c>
    </row>
    <row r="161" spans="1:33" x14ac:dyDescent="0.25">
      <c r="A161" s="6" t="s">
        <v>1</v>
      </c>
      <c r="B161" s="6" t="s">
        <v>254</v>
      </c>
      <c r="C161" s="6" t="s">
        <v>49</v>
      </c>
      <c r="D161" s="6" t="s">
        <v>50</v>
      </c>
      <c r="E161" s="6" t="s">
        <v>262</v>
      </c>
      <c r="AD161" s="6" t="s">
        <v>281</v>
      </c>
      <c r="AE161" s="6" t="str">
        <f t="shared" si="12"/>
        <v>OK</v>
      </c>
      <c r="AF161" s="6">
        <f t="shared" si="13"/>
        <v>0</v>
      </c>
      <c r="AG161" s="6">
        <f t="shared" si="14"/>
        <v>0</v>
      </c>
    </row>
    <row r="162" spans="1:33" x14ac:dyDescent="0.25">
      <c r="A162" s="6" t="s">
        <v>1</v>
      </c>
      <c r="B162" s="6" t="s">
        <v>255</v>
      </c>
      <c r="C162" s="6" t="s">
        <v>49</v>
      </c>
      <c r="D162" s="6" t="s">
        <v>50</v>
      </c>
      <c r="E162" s="6" t="s">
        <v>263</v>
      </c>
      <c r="AD162" s="6" t="s">
        <v>281</v>
      </c>
      <c r="AE162" s="6" t="str">
        <f t="shared" ref="AE162:AE180" si="15">IF(TRIM(B162)="","PENDENTE","OK")</f>
        <v>OK</v>
      </c>
      <c r="AF162" s="6">
        <f t="shared" ref="AF162:AF180" si="16">IF(AE162="PENDENTE",1,0)</f>
        <v>0</v>
      </c>
      <c r="AG162" s="6">
        <f t="shared" ref="AG162:AG180" si="17">IF(LEFT(UPPER(TRIM(U162)),3)="SIM",1,0)</f>
        <v>0</v>
      </c>
    </row>
    <row r="163" spans="1:33" x14ac:dyDescent="0.25">
      <c r="A163" s="6" t="s">
        <v>1</v>
      </c>
      <c r="B163" s="6" t="s">
        <v>256</v>
      </c>
      <c r="C163" s="6" t="s">
        <v>49</v>
      </c>
      <c r="D163" s="6" t="s">
        <v>50</v>
      </c>
      <c r="E163" s="6" t="s">
        <v>262</v>
      </c>
      <c r="AD163" s="6" t="s">
        <v>281</v>
      </c>
      <c r="AE163" s="6" t="str">
        <f t="shared" si="15"/>
        <v>OK</v>
      </c>
      <c r="AF163" s="6">
        <f t="shared" si="16"/>
        <v>0</v>
      </c>
      <c r="AG163" s="6">
        <f t="shared" si="17"/>
        <v>0</v>
      </c>
    </row>
    <row r="164" spans="1:33" x14ac:dyDescent="0.25">
      <c r="A164" s="6" t="s">
        <v>1</v>
      </c>
      <c r="B164" s="6" t="s">
        <v>257</v>
      </c>
      <c r="C164" s="6" t="s">
        <v>49</v>
      </c>
      <c r="D164" s="6" t="s">
        <v>50</v>
      </c>
      <c r="E164" s="6" t="s">
        <v>263</v>
      </c>
      <c r="AD164" s="6" t="s">
        <v>281</v>
      </c>
      <c r="AE164" s="6" t="str">
        <f t="shared" si="15"/>
        <v>OK</v>
      </c>
      <c r="AF164" s="6">
        <f t="shared" si="16"/>
        <v>0</v>
      </c>
      <c r="AG164" s="6">
        <f t="shared" si="17"/>
        <v>0</v>
      </c>
    </row>
    <row r="165" spans="1:33" x14ac:dyDescent="0.25">
      <c r="A165" s="6" t="s">
        <v>1</v>
      </c>
      <c r="B165" s="6" t="s">
        <v>258</v>
      </c>
      <c r="C165" s="6" t="s">
        <v>49</v>
      </c>
      <c r="D165" s="6" t="s">
        <v>50</v>
      </c>
      <c r="E165" s="6" t="s">
        <v>263</v>
      </c>
      <c r="AD165" s="6" t="s">
        <v>281</v>
      </c>
      <c r="AE165" s="6" t="str">
        <f t="shared" si="15"/>
        <v>OK</v>
      </c>
      <c r="AF165" s="6">
        <f t="shared" si="16"/>
        <v>0</v>
      </c>
      <c r="AG165" s="6">
        <f t="shared" si="17"/>
        <v>0</v>
      </c>
    </row>
    <row r="166" spans="1:33" x14ac:dyDescent="0.25">
      <c r="A166" s="6" t="s">
        <v>1</v>
      </c>
      <c r="B166" s="6" t="s">
        <v>259</v>
      </c>
      <c r="C166" s="6" t="s">
        <v>49</v>
      </c>
      <c r="D166" s="6" t="s">
        <v>50</v>
      </c>
      <c r="E166" s="6" t="s">
        <v>263</v>
      </c>
      <c r="AD166" s="6" t="s">
        <v>281</v>
      </c>
      <c r="AE166" s="6" t="str">
        <f t="shared" si="15"/>
        <v>OK</v>
      </c>
      <c r="AF166" s="6">
        <f t="shared" si="16"/>
        <v>0</v>
      </c>
      <c r="AG166" s="6">
        <f t="shared" si="17"/>
        <v>0</v>
      </c>
    </row>
    <row r="167" spans="1:33" x14ac:dyDescent="0.25">
      <c r="A167" s="6" t="s">
        <v>1</v>
      </c>
      <c r="B167" s="6" t="s">
        <v>260</v>
      </c>
      <c r="C167" s="6" t="s">
        <v>49</v>
      </c>
      <c r="D167" s="6" t="s">
        <v>50</v>
      </c>
      <c r="E167" s="6" t="s">
        <v>265</v>
      </c>
      <c r="AD167" s="6" t="s">
        <v>281</v>
      </c>
      <c r="AE167" s="6" t="str">
        <f t="shared" si="15"/>
        <v>OK</v>
      </c>
      <c r="AF167" s="6">
        <f t="shared" si="16"/>
        <v>0</v>
      </c>
      <c r="AG167" s="6">
        <f t="shared" si="17"/>
        <v>0</v>
      </c>
    </row>
    <row r="168" spans="1:33" x14ac:dyDescent="0.25">
      <c r="A168" s="6" t="s">
        <v>1</v>
      </c>
      <c r="B168" s="6" t="s">
        <v>267</v>
      </c>
      <c r="C168" s="6" t="s">
        <v>49</v>
      </c>
      <c r="D168" s="6" t="s">
        <v>50</v>
      </c>
      <c r="E168" s="6" t="s">
        <v>261</v>
      </c>
      <c r="AD168" s="6" t="s">
        <v>281</v>
      </c>
      <c r="AE168" s="6" t="str">
        <f t="shared" si="15"/>
        <v>OK</v>
      </c>
      <c r="AF168" s="6">
        <f t="shared" si="16"/>
        <v>0</v>
      </c>
      <c r="AG168" s="6">
        <f t="shared" si="17"/>
        <v>0</v>
      </c>
    </row>
    <row r="169" spans="1:33" x14ac:dyDescent="0.25">
      <c r="A169" s="6" t="s">
        <v>1</v>
      </c>
      <c r="B169" s="6" t="s">
        <v>266</v>
      </c>
      <c r="C169" s="6" t="s">
        <v>49</v>
      </c>
      <c r="D169" s="6" t="s">
        <v>50</v>
      </c>
      <c r="E169" s="6" t="s">
        <v>279</v>
      </c>
      <c r="AD169" s="6" t="s">
        <v>281</v>
      </c>
      <c r="AE169" s="6" t="str">
        <f t="shared" si="15"/>
        <v>OK</v>
      </c>
      <c r="AF169" s="6">
        <f t="shared" si="16"/>
        <v>0</v>
      </c>
      <c r="AG169" s="6">
        <f t="shared" si="17"/>
        <v>0</v>
      </c>
    </row>
    <row r="170" spans="1:33" x14ac:dyDescent="0.25">
      <c r="A170" s="6" t="s">
        <v>1</v>
      </c>
      <c r="B170" s="6" t="s">
        <v>268</v>
      </c>
      <c r="C170" s="6" t="s">
        <v>49</v>
      </c>
      <c r="D170" s="6" t="s">
        <v>50</v>
      </c>
      <c r="E170" s="6" t="s">
        <v>261</v>
      </c>
      <c r="AD170" s="6" t="s">
        <v>281</v>
      </c>
      <c r="AE170" s="6" t="str">
        <f t="shared" si="15"/>
        <v>OK</v>
      </c>
      <c r="AF170" s="6">
        <f t="shared" si="16"/>
        <v>0</v>
      </c>
      <c r="AG170" s="6">
        <f t="shared" si="17"/>
        <v>0</v>
      </c>
    </row>
    <row r="171" spans="1:33" x14ac:dyDescent="0.25">
      <c r="A171" s="6" t="s">
        <v>1</v>
      </c>
      <c r="B171" s="6" t="s">
        <v>269</v>
      </c>
      <c r="C171" s="6" t="s">
        <v>49</v>
      </c>
      <c r="D171" s="6" t="s">
        <v>50</v>
      </c>
      <c r="E171" s="6" t="s">
        <v>264</v>
      </c>
      <c r="AD171" s="6" t="s">
        <v>281</v>
      </c>
      <c r="AE171" s="6" t="str">
        <f t="shared" si="15"/>
        <v>OK</v>
      </c>
      <c r="AF171" s="6">
        <f t="shared" si="16"/>
        <v>0</v>
      </c>
      <c r="AG171" s="6">
        <f t="shared" si="17"/>
        <v>0</v>
      </c>
    </row>
    <row r="172" spans="1:33" x14ac:dyDescent="0.25">
      <c r="A172" s="6" t="s">
        <v>1</v>
      </c>
      <c r="B172" s="6" t="s">
        <v>270</v>
      </c>
      <c r="C172" s="6" t="s">
        <v>49</v>
      </c>
      <c r="D172" s="6" t="s">
        <v>50</v>
      </c>
      <c r="E172" s="6" t="s">
        <v>261</v>
      </c>
      <c r="AD172" s="6" t="s">
        <v>281</v>
      </c>
      <c r="AE172" s="6" t="str">
        <f t="shared" si="15"/>
        <v>OK</v>
      </c>
      <c r="AF172" s="6">
        <f t="shared" si="16"/>
        <v>0</v>
      </c>
      <c r="AG172" s="6">
        <f t="shared" si="17"/>
        <v>0</v>
      </c>
    </row>
    <row r="173" spans="1:33" x14ac:dyDescent="0.25">
      <c r="A173" s="6" t="s">
        <v>1</v>
      </c>
      <c r="B173" s="6" t="s">
        <v>271</v>
      </c>
      <c r="C173" s="6" t="s">
        <v>49</v>
      </c>
      <c r="D173" s="6" t="s">
        <v>50</v>
      </c>
      <c r="E173" s="6" t="s">
        <v>263</v>
      </c>
      <c r="AD173" s="6" t="s">
        <v>281</v>
      </c>
      <c r="AE173" s="6" t="str">
        <f t="shared" si="15"/>
        <v>OK</v>
      </c>
      <c r="AF173" s="6">
        <f t="shared" si="16"/>
        <v>0</v>
      </c>
      <c r="AG173" s="6">
        <f t="shared" si="17"/>
        <v>0</v>
      </c>
    </row>
    <row r="174" spans="1:33" x14ac:dyDescent="0.25">
      <c r="A174" s="6" t="s">
        <v>1</v>
      </c>
      <c r="B174" s="6" t="s">
        <v>272</v>
      </c>
      <c r="C174" s="6" t="s">
        <v>49</v>
      </c>
      <c r="D174" s="6" t="s">
        <v>50</v>
      </c>
      <c r="E174" s="6" t="s">
        <v>263</v>
      </c>
      <c r="AD174" s="6" t="s">
        <v>281</v>
      </c>
      <c r="AE174" s="6" t="str">
        <f t="shared" si="15"/>
        <v>OK</v>
      </c>
      <c r="AF174" s="6">
        <f t="shared" si="16"/>
        <v>0</v>
      </c>
      <c r="AG174" s="6">
        <f t="shared" si="17"/>
        <v>0</v>
      </c>
    </row>
    <row r="175" spans="1:33" x14ac:dyDescent="0.25">
      <c r="A175" s="6" t="s">
        <v>1</v>
      </c>
      <c r="B175" s="6" t="s">
        <v>273</v>
      </c>
      <c r="C175" s="6" t="s">
        <v>49</v>
      </c>
      <c r="D175" s="6" t="s">
        <v>50</v>
      </c>
      <c r="E175" s="6" t="s">
        <v>263</v>
      </c>
      <c r="AD175" s="6" t="s">
        <v>281</v>
      </c>
      <c r="AE175" s="6" t="str">
        <f t="shared" si="15"/>
        <v>OK</v>
      </c>
      <c r="AF175" s="6">
        <f t="shared" si="16"/>
        <v>0</v>
      </c>
      <c r="AG175" s="6">
        <f t="shared" si="17"/>
        <v>0</v>
      </c>
    </row>
    <row r="176" spans="1:33" x14ac:dyDescent="0.25">
      <c r="A176" s="6" t="s">
        <v>1</v>
      </c>
      <c r="B176" s="6" t="s">
        <v>274</v>
      </c>
      <c r="C176" s="6" t="s">
        <v>49</v>
      </c>
      <c r="D176" s="6" t="s">
        <v>50</v>
      </c>
      <c r="E176" s="6" t="s">
        <v>263</v>
      </c>
      <c r="AD176" s="6" t="s">
        <v>281</v>
      </c>
      <c r="AE176" s="6" t="str">
        <f t="shared" si="15"/>
        <v>OK</v>
      </c>
      <c r="AF176" s="6">
        <f t="shared" si="16"/>
        <v>0</v>
      </c>
      <c r="AG176" s="6">
        <f t="shared" si="17"/>
        <v>0</v>
      </c>
    </row>
    <row r="177" spans="1:33" x14ac:dyDescent="0.25">
      <c r="A177" s="6" t="s">
        <v>1</v>
      </c>
      <c r="B177" s="6" t="s">
        <v>275</v>
      </c>
      <c r="C177" s="6" t="s">
        <v>49</v>
      </c>
      <c r="D177" s="6" t="s">
        <v>50</v>
      </c>
      <c r="E177" s="6" t="s">
        <v>263</v>
      </c>
      <c r="AD177" s="6" t="s">
        <v>281</v>
      </c>
      <c r="AE177" s="6" t="str">
        <f t="shared" si="15"/>
        <v>OK</v>
      </c>
      <c r="AF177" s="6">
        <f t="shared" si="16"/>
        <v>0</v>
      </c>
      <c r="AG177" s="6">
        <f t="shared" si="17"/>
        <v>0</v>
      </c>
    </row>
    <row r="178" spans="1:33" x14ac:dyDescent="0.25">
      <c r="A178" s="6" t="s">
        <v>1</v>
      </c>
      <c r="B178" s="6" t="s">
        <v>276</v>
      </c>
      <c r="C178" s="6" t="s">
        <v>49</v>
      </c>
      <c r="D178" s="6" t="s">
        <v>50</v>
      </c>
      <c r="E178" s="6" t="s">
        <v>263</v>
      </c>
      <c r="AD178" s="6" t="s">
        <v>281</v>
      </c>
      <c r="AE178" s="6" t="str">
        <f t="shared" si="15"/>
        <v>OK</v>
      </c>
      <c r="AF178" s="6">
        <f t="shared" si="16"/>
        <v>0</v>
      </c>
      <c r="AG178" s="6">
        <f t="shared" si="17"/>
        <v>0</v>
      </c>
    </row>
    <row r="179" spans="1:33" x14ac:dyDescent="0.25">
      <c r="A179" s="6" t="s">
        <v>1</v>
      </c>
      <c r="B179" s="6" t="s">
        <v>277</v>
      </c>
      <c r="C179" s="6" t="s">
        <v>49</v>
      </c>
      <c r="D179" s="6" t="s">
        <v>50</v>
      </c>
      <c r="E179" s="6" t="s">
        <v>264</v>
      </c>
      <c r="AD179" s="6" t="s">
        <v>281</v>
      </c>
      <c r="AE179" s="6" t="str">
        <f t="shared" si="15"/>
        <v>OK</v>
      </c>
      <c r="AF179" s="6">
        <f t="shared" si="16"/>
        <v>0</v>
      </c>
      <c r="AG179" s="6">
        <f t="shared" si="17"/>
        <v>0</v>
      </c>
    </row>
    <row r="180" spans="1:33" x14ac:dyDescent="0.25">
      <c r="A180" s="6" t="s">
        <v>1</v>
      </c>
      <c r="B180" s="6" t="s">
        <v>278</v>
      </c>
      <c r="C180" s="6" t="s">
        <v>49</v>
      </c>
      <c r="D180" s="6" t="s">
        <v>50</v>
      </c>
      <c r="E180" s="6" t="s">
        <v>264</v>
      </c>
      <c r="AD180" s="6" t="s">
        <v>281</v>
      </c>
      <c r="AE180" s="6" t="str">
        <f t="shared" si="15"/>
        <v>OK</v>
      </c>
      <c r="AF180" s="6">
        <f t="shared" si="16"/>
        <v>0</v>
      </c>
      <c r="AG180" s="6">
        <f t="shared" si="17"/>
        <v>0</v>
      </c>
    </row>
  </sheetData>
  <sheetProtection algorithmName="SHA-512" hashValue="//zgERPP/rg5UhM0G1JpuIV5wxPKDGnzueuT1H+gT9YluLCicqGY0M6YzqssFZz1rW6PJvBq4RNGi2dUl0b4JQ==" saltValue="iSZRIG8oRVjGn7Umdhn9Iw==" spinCount="100000" sheet="1" objects="1" scenarios="1" sort="0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D37D2-5135-4AC3-9941-C7F23F5269EA}">
  <dimension ref="A1:AC40"/>
  <sheetViews>
    <sheetView topLeftCell="A22" workbookViewId="0">
      <selection activeCell="B9" sqref="B9"/>
    </sheetView>
  </sheetViews>
  <sheetFormatPr defaultRowHeight="15" x14ac:dyDescent="0.25"/>
  <cols>
    <col min="1" max="1" width="11.5703125" style="1" customWidth="1"/>
    <col min="2" max="2" width="19" style="1" customWidth="1"/>
    <col min="3" max="3" width="14" style="1" bestFit="1" customWidth="1"/>
    <col min="4" max="4" width="16.140625" style="1" customWidth="1"/>
    <col min="5" max="5" width="59.140625" style="1" bestFit="1" customWidth="1"/>
    <col min="6" max="6" width="14.28515625" style="1" customWidth="1"/>
    <col min="7" max="7" width="21.140625" style="1" customWidth="1"/>
    <col min="8" max="8" width="19" style="1" bestFit="1" customWidth="1"/>
    <col min="9" max="9" width="30.42578125" style="1" bestFit="1" customWidth="1"/>
    <col min="10" max="10" width="18.140625" style="15" customWidth="1"/>
    <col min="11" max="11" width="19.5703125" style="1" customWidth="1"/>
    <col min="12" max="12" width="17.42578125" style="1" customWidth="1"/>
    <col min="13" max="13" width="18.28515625" style="1" customWidth="1"/>
    <col min="14" max="14" width="16.85546875" style="1" customWidth="1"/>
    <col min="15" max="15" width="18" style="1" customWidth="1"/>
    <col min="16" max="16" width="17.7109375" style="1" customWidth="1"/>
    <col min="17" max="17" width="15.42578125" style="1" customWidth="1"/>
    <col min="18" max="18" width="12.42578125" style="1" customWidth="1"/>
    <col min="19" max="19" width="20.5703125" style="1" customWidth="1"/>
    <col min="20" max="20" width="17.7109375" style="1" customWidth="1"/>
    <col min="21" max="21" width="20.85546875" style="1" customWidth="1"/>
    <col min="22" max="22" width="20.7109375" style="1" customWidth="1"/>
    <col min="23" max="23" width="19.140625" style="1" customWidth="1"/>
    <col min="24" max="24" width="19.42578125" style="1" customWidth="1"/>
    <col min="25" max="25" width="18" style="1" customWidth="1"/>
    <col min="26" max="16384" width="9.140625" style="1"/>
  </cols>
  <sheetData>
    <row r="1" spans="1:29" ht="38.25" x14ac:dyDescent="0.25">
      <c r="A1" s="2" t="s">
        <v>2</v>
      </c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3" t="s">
        <v>9</v>
      </c>
      <c r="I1" s="14" t="s">
        <v>10</v>
      </c>
      <c r="J1" s="3" t="s">
        <v>11</v>
      </c>
      <c r="K1" s="3" t="s">
        <v>12</v>
      </c>
      <c r="L1" s="3" t="s">
        <v>13</v>
      </c>
      <c r="M1" s="3" t="s">
        <v>14</v>
      </c>
      <c r="N1" s="3" t="s">
        <v>15</v>
      </c>
      <c r="O1" s="3" t="s">
        <v>16</v>
      </c>
      <c r="P1" s="3" t="s">
        <v>17</v>
      </c>
      <c r="Q1" s="3" t="s">
        <v>18</v>
      </c>
      <c r="R1" s="3" t="s">
        <v>19</v>
      </c>
      <c r="S1" s="2" t="s">
        <v>20</v>
      </c>
      <c r="T1" s="2" t="s">
        <v>21</v>
      </c>
      <c r="U1" s="2" t="s">
        <v>22</v>
      </c>
      <c r="V1" s="2" t="s">
        <v>23</v>
      </c>
      <c r="W1" s="2" t="s">
        <v>24</v>
      </c>
      <c r="X1" s="2" t="s">
        <v>25</v>
      </c>
      <c r="Y1" s="2" t="s">
        <v>26</v>
      </c>
      <c r="Z1" s="4" t="s">
        <v>27</v>
      </c>
      <c r="AA1" s="4" t="s">
        <v>28</v>
      </c>
      <c r="AB1" s="4" t="s">
        <v>29</v>
      </c>
      <c r="AC1" s="4" t="s">
        <v>30</v>
      </c>
    </row>
    <row r="2" spans="1:29" x14ac:dyDescent="0.25">
      <c r="A2" s="1" t="s">
        <v>35</v>
      </c>
      <c r="B2" s="1" t="s">
        <v>48</v>
      </c>
      <c r="C2" s="1" t="s">
        <v>49</v>
      </c>
      <c r="D2" s="15" t="s">
        <v>50</v>
      </c>
      <c r="E2" s="16" t="s">
        <v>47</v>
      </c>
      <c r="H2" s="1" t="s">
        <v>46</v>
      </c>
      <c r="I2" s="1" t="s">
        <v>45</v>
      </c>
      <c r="J2" s="15">
        <v>52142608</v>
      </c>
      <c r="M2" s="1" t="s">
        <v>130</v>
      </c>
      <c r="O2" s="1" t="s">
        <v>44</v>
      </c>
    </row>
    <row r="3" spans="1:29" x14ac:dyDescent="0.25">
      <c r="A3" s="1" t="s">
        <v>33</v>
      </c>
      <c r="B3" s="1" t="s">
        <v>51</v>
      </c>
      <c r="C3" s="1" t="s">
        <v>49</v>
      </c>
      <c r="D3" s="15" t="s">
        <v>50</v>
      </c>
      <c r="E3" s="1" t="s">
        <v>56</v>
      </c>
      <c r="H3" s="1" t="s">
        <v>55</v>
      </c>
      <c r="J3" s="15" t="s">
        <v>94</v>
      </c>
    </row>
    <row r="4" spans="1:29" x14ac:dyDescent="0.25">
      <c r="A4" s="1" t="s">
        <v>33</v>
      </c>
      <c r="B4" s="1" t="s">
        <v>52</v>
      </c>
      <c r="C4" s="1" t="s">
        <v>49</v>
      </c>
      <c r="D4" s="15" t="s">
        <v>50</v>
      </c>
      <c r="E4" s="1" t="s">
        <v>56</v>
      </c>
      <c r="H4" s="1" t="s">
        <v>55</v>
      </c>
      <c r="J4" s="15" t="s">
        <v>95</v>
      </c>
    </row>
    <row r="5" spans="1:29" x14ac:dyDescent="0.25">
      <c r="A5" s="1" t="s">
        <v>33</v>
      </c>
      <c r="B5" s="1" t="s">
        <v>53</v>
      </c>
      <c r="C5" s="1" t="s">
        <v>49</v>
      </c>
      <c r="D5" s="15" t="s">
        <v>50</v>
      </c>
      <c r="E5" s="1" t="s">
        <v>56</v>
      </c>
      <c r="H5" s="1" t="s">
        <v>55</v>
      </c>
      <c r="J5" s="15" t="s">
        <v>96</v>
      </c>
    </row>
    <row r="6" spans="1:29" x14ac:dyDescent="0.25">
      <c r="A6" s="1" t="s">
        <v>33</v>
      </c>
      <c r="B6" s="1" t="s">
        <v>54</v>
      </c>
      <c r="C6" s="1" t="s">
        <v>49</v>
      </c>
      <c r="D6" s="15" t="s">
        <v>50</v>
      </c>
      <c r="E6" s="1" t="s">
        <v>56</v>
      </c>
      <c r="H6" s="1" t="s">
        <v>55</v>
      </c>
      <c r="J6" s="15" t="s">
        <v>97</v>
      </c>
    </row>
    <row r="7" spans="1:29" x14ac:dyDescent="0.25">
      <c r="A7" s="1" t="s">
        <v>58</v>
      </c>
      <c r="B7" s="1" t="s">
        <v>59</v>
      </c>
      <c r="C7" s="1" t="s">
        <v>49</v>
      </c>
      <c r="D7" s="15" t="s">
        <v>50</v>
      </c>
      <c r="E7" s="1" t="s">
        <v>57</v>
      </c>
      <c r="H7" s="1" t="s">
        <v>31</v>
      </c>
      <c r="J7" s="15" t="s">
        <v>98</v>
      </c>
    </row>
    <row r="8" spans="1:29" x14ac:dyDescent="0.25">
      <c r="A8" s="1" t="s">
        <v>1</v>
      </c>
      <c r="B8" s="1" t="s">
        <v>61</v>
      </c>
      <c r="C8" s="1" t="s">
        <v>49</v>
      </c>
      <c r="D8" s="15" t="s">
        <v>50</v>
      </c>
      <c r="E8" s="1" t="s">
        <v>60</v>
      </c>
      <c r="H8" s="1" t="s">
        <v>0</v>
      </c>
      <c r="I8" s="1" t="s">
        <v>91</v>
      </c>
    </row>
    <row r="9" spans="1:29" x14ac:dyDescent="0.25">
      <c r="A9" s="1" t="s">
        <v>1</v>
      </c>
      <c r="B9" s="1" t="s">
        <v>62</v>
      </c>
      <c r="C9" s="1" t="s">
        <v>49</v>
      </c>
      <c r="D9" s="15" t="s">
        <v>50</v>
      </c>
      <c r="E9" s="1" t="s">
        <v>60</v>
      </c>
      <c r="H9" s="1" t="s">
        <v>0</v>
      </c>
      <c r="I9" s="1" t="s">
        <v>91</v>
      </c>
    </row>
    <row r="10" spans="1:29" x14ac:dyDescent="0.25">
      <c r="A10" s="1" t="s">
        <v>1</v>
      </c>
      <c r="B10" s="1" t="s">
        <v>63</v>
      </c>
      <c r="C10" s="1" t="s">
        <v>49</v>
      </c>
      <c r="D10" s="15" t="s">
        <v>50</v>
      </c>
      <c r="E10" s="1" t="s">
        <v>60</v>
      </c>
      <c r="H10" s="1" t="s">
        <v>0</v>
      </c>
      <c r="I10" s="1" t="s">
        <v>91</v>
      </c>
    </row>
    <row r="11" spans="1:29" x14ac:dyDescent="0.25">
      <c r="A11" s="1" t="s">
        <v>1</v>
      </c>
      <c r="B11" s="1" t="s">
        <v>64</v>
      </c>
      <c r="C11" s="1" t="s">
        <v>49</v>
      </c>
      <c r="D11" s="15" t="s">
        <v>50</v>
      </c>
      <c r="E11" s="1" t="s">
        <v>71</v>
      </c>
      <c r="H11" s="1" t="s">
        <v>0</v>
      </c>
      <c r="I11" s="17">
        <v>791</v>
      </c>
    </row>
    <row r="12" spans="1:29" x14ac:dyDescent="0.25">
      <c r="A12" s="1" t="s">
        <v>1</v>
      </c>
      <c r="B12" s="1" t="s">
        <v>65</v>
      </c>
      <c r="C12" s="1" t="s">
        <v>49</v>
      </c>
      <c r="D12" s="15" t="s">
        <v>50</v>
      </c>
      <c r="E12" s="1" t="s">
        <v>72</v>
      </c>
      <c r="H12" s="1" t="s">
        <v>0</v>
      </c>
      <c r="I12" s="17">
        <v>791</v>
      </c>
    </row>
    <row r="13" spans="1:29" x14ac:dyDescent="0.25">
      <c r="A13" s="1" t="s">
        <v>1</v>
      </c>
      <c r="B13" s="1" t="s">
        <v>66</v>
      </c>
      <c r="C13" s="1" t="s">
        <v>49</v>
      </c>
      <c r="D13" s="15" t="s">
        <v>50</v>
      </c>
      <c r="E13" s="1" t="s">
        <v>73</v>
      </c>
      <c r="H13" s="1" t="s">
        <v>90</v>
      </c>
      <c r="I13" s="1" t="s">
        <v>92</v>
      </c>
    </row>
    <row r="14" spans="1:29" x14ac:dyDescent="0.25">
      <c r="A14" s="1" t="s">
        <v>1</v>
      </c>
      <c r="B14" s="1" t="s">
        <v>67</v>
      </c>
      <c r="C14" s="1" t="s">
        <v>49</v>
      </c>
      <c r="D14" s="15" t="s">
        <v>50</v>
      </c>
      <c r="E14" s="1" t="s">
        <v>74</v>
      </c>
      <c r="H14" s="1" t="s">
        <v>90</v>
      </c>
      <c r="I14" s="1" t="s">
        <v>93</v>
      </c>
    </row>
    <row r="15" spans="1:29" x14ac:dyDescent="0.25">
      <c r="A15" s="1" t="s">
        <v>1</v>
      </c>
      <c r="B15" s="1" t="s">
        <v>68</v>
      </c>
      <c r="C15" s="1" t="s">
        <v>49</v>
      </c>
      <c r="D15" s="15" t="s">
        <v>50</v>
      </c>
      <c r="E15" s="1" t="s">
        <v>73</v>
      </c>
      <c r="H15" s="1" t="s">
        <v>90</v>
      </c>
      <c r="I15" s="1" t="s">
        <v>92</v>
      </c>
    </row>
    <row r="16" spans="1:29" x14ac:dyDescent="0.25">
      <c r="A16" s="1" t="s">
        <v>1</v>
      </c>
      <c r="B16" s="1" t="s">
        <v>69</v>
      </c>
      <c r="C16" s="1" t="s">
        <v>49</v>
      </c>
      <c r="D16" s="15" t="s">
        <v>50</v>
      </c>
      <c r="E16" s="1" t="s">
        <v>74</v>
      </c>
      <c r="H16" s="1" t="s">
        <v>90</v>
      </c>
      <c r="I16" s="1" t="s">
        <v>93</v>
      </c>
    </row>
    <row r="17" spans="1:15" x14ac:dyDescent="0.25">
      <c r="A17" s="1" t="s">
        <v>1</v>
      </c>
      <c r="B17" s="1" t="s">
        <v>70</v>
      </c>
      <c r="C17" s="1" t="s">
        <v>49</v>
      </c>
      <c r="D17" s="15" t="s">
        <v>50</v>
      </c>
      <c r="E17" s="1" t="s">
        <v>73</v>
      </c>
      <c r="H17" s="1" t="s">
        <v>90</v>
      </c>
      <c r="I17" s="1" t="s">
        <v>92</v>
      </c>
    </row>
    <row r="18" spans="1:15" x14ac:dyDescent="0.25">
      <c r="A18" s="1" t="s">
        <v>1</v>
      </c>
      <c r="B18" s="1" t="s">
        <v>75</v>
      </c>
      <c r="C18" s="1" t="s">
        <v>49</v>
      </c>
      <c r="D18" s="15" t="s">
        <v>50</v>
      </c>
      <c r="E18" s="1" t="s">
        <v>73</v>
      </c>
      <c r="H18" s="1" t="s">
        <v>90</v>
      </c>
      <c r="I18" s="1" t="s">
        <v>92</v>
      </c>
    </row>
    <row r="19" spans="1:15" x14ac:dyDescent="0.25">
      <c r="A19" s="1" t="s">
        <v>1</v>
      </c>
      <c r="B19" s="1" t="s">
        <v>76</v>
      </c>
      <c r="C19" s="1" t="s">
        <v>49</v>
      </c>
      <c r="D19" s="15" t="s">
        <v>50</v>
      </c>
      <c r="E19" s="1" t="s">
        <v>74</v>
      </c>
      <c r="H19" s="1" t="s">
        <v>90</v>
      </c>
      <c r="I19" s="1" t="s">
        <v>93</v>
      </c>
    </row>
    <row r="20" spans="1:15" x14ac:dyDescent="0.25">
      <c r="A20" s="1" t="s">
        <v>1</v>
      </c>
      <c r="B20" s="1" t="s">
        <v>77</v>
      </c>
      <c r="C20" s="1" t="s">
        <v>49</v>
      </c>
      <c r="D20" s="15" t="s">
        <v>50</v>
      </c>
      <c r="E20" s="1" t="s">
        <v>73</v>
      </c>
      <c r="H20" s="1" t="s">
        <v>90</v>
      </c>
      <c r="I20" s="1" t="s">
        <v>92</v>
      </c>
    </row>
    <row r="21" spans="1:15" x14ac:dyDescent="0.25">
      <c r="A21" s="1" t="s">
        <v>1</v>
      </c>
      <c r="B21" s="1" t="s">
        <v>78</v>
      </c>
      <c r="C21" s="1" t="s">
        <v>49</v>
      </c>
      <c r="D21" s="15" t="s">
        <v>50</v>
      </c>
      <c r="E21" s="1" t="s">
        <v>74</v>
      </c>
      <c r="H21" s="1" t="s">
        <v>90</v>
      </c>
      <c r="I21" s="1" t="s">
        <v>93</v>
      </c>
    </row>
    <row r="22" spans="1:15" x14ac:dyDescent="0.25">
      <c r="A22" s="1" t="s">
        <v>1</v>
      </c>
      <c r="B22" s="1" t="s">
        <v>79</v>
      </c>
      <c r="C22" s="1" t="s">
        <v>49</v>
      </c>
      <c r="D22" s="15" t="s">
        <v>50</v>
      </c>
      <c r="E22" s="1" t="s">
        <v>73</v>
      </c>
      <c r="H22" s="1" t="s">
        <v>90</v>
      </c>
      <c r="I22" s="1" t="s">
        <v>92</v>
      </c>
    </row>
    <row r="23" spans="1:15" x14ac:dyDescent="0.25">
      <c r="A23" s="1" t="s">
        <v>1</v>
      </c>
      <c r="B23" s="1" t="s">
        <v>80</v>
      </c>
      <c r="C23" s="1" t="s">
        <v>49</v>
      </c>
      <c r="D23" s="15" t="s">
        <v>50</v>
      </c>
      <c r="E23" s="1" t="s">
        <v>88</v>
      </c>
      <c r="H23" s="1" t="s">
        <v>90</v>
      </c>
      <c r="I23" s="1" t="s">
        <v>93</v>
      </c>
    </row>
    <row r="24" spans="1:15" x14ac:dyDescent="0.25">
      <c r="A24" s="1" t="s">
        <v>1</v>
      </c>
      <c r="B24" s="1" t="s">
        <v>81</v>
      </c>
      <c r="C24" s="1" t="s">
        <v>49</v>
      </c>
      <c r="D24" s="15" t="s">
        <v>50</v>
      </c>
      <c r="E24" s="1" t="s">
        <v>88</v>
      </c>
      <c r="H24" s="1" t="s">
        <v>90</v>
      </c>
      <c r="I24" s="1" t="s">
        <v>93</v>
      </c>
    </row>
    <row r="25" spans="1:15" x14ac:dyDescent="0.25">
      <c r="A25" s="1" t="s">
        <v>1</v>
      </c>
      <c r="B25" s="1" t="s">
        <v>82</v>
      </c>
      <c r="C25" s="1" t="s">
        <v>49</v>
      </c>
      <c r="D25" s="15" t="s">
        <v>50</v>
      </c>
      <c r="E25" s="1" t="s">
        <v>88</v>
      </c>
      <c r="H25" s="1" t="s">
        <v>90</v>
      </c>
      <c r="I25" s="1" t="s">
        <v>93</v>
      </c>
    </row>
    <row r="26" spans="1:15" x14ac:dyDescent="0.25">
      <c r="A26" s="1" t="s">
        <v>1</v>
      </c>
      <c r="B26" s="1" t="s">
        <v>83</v>
      </c>
      <c r="C26" s="1" t="s">
        <v>49</v>
      </c>
      <c r="D26" s="15" t="s">
        <v>50</v>
      </c>
      <c r="E26" s="1" t="s">
        <v>89</v>
      </c>
      <c r="H26" s="1" t="s">
        <v>90</v>
      </c>
      <c r="I26" s="1" t="s">
        <v>93</v>
      </c>
    </row>
    <row r="27" spans="1:15" x14ac:dyDescent="0.25">
      <c r="A27" s="1" t="s">
        <v>1</v>
      </c>
      <c r="B27" s="1" t="s">
        <v>84</v>
      </c>
      <c r="C27" s="1" t="s">
        <v>49</v>
      </c>
      <c r="D27" s="15" t="s">
        <v>50</v>
      </c>
      <c r="E27" s="1" t="s">
        <v>73</v>
      </c>
      <c r="H27" s="1" t="s">
        <v>90</v>
      </c>
      <c r="I27" s="1" t="s">
        <v>92</v>
      </c>
    </row>
    <row r="28" spans="1:15" x14ac:dyDescent="0.25">
      <c r="A28" s="1" t="s">
        <v>1</v>
      </c>
      <c r="B28" s="1" t="s">
        <v>85</v>
      </c>
      <c r="C28" s="1" t="s">
        <v>49</v>
      </c>
      <c r="D28" s="15" t="s">
        <v>50</v>
      </c>
      <c r="E28" s="1" t="s">
        <v>73</v>
      </c>
      <c r="H28" s="1" t="s">
        <v>90</v>
      </c>
      <c r="I28" s="1" t="s">
        <v>92</v>
      </c>
    </row>
    <row r="29" spans="1:15" x14ac:dyDescent="0.25">
      <c r="A29" s="1" t="s">
        <v>1</v>
      </c>
      <c r="B29" s="1" t="s">
        <v>87</v>
      </c>
      <c r="C29" s="1" t="s">
        <v>49</v>
      </c>
      <c r="D29" s="15" t="s">
        <v>50</v>
      </c>
      <c r="E29" s="1" t="s">
        <v>73</v>
      </c>
      <c r="H29" s="1" t="s">
        <v>90</v>
      </c>
      <c r="I29" s="1" t="s">
        <v>92</v>
      </c>
    </row>
    <row r="30" spans="1:15" x14ac:dyDescent="0.25">
      <c r="A30" s="1" t="s">
        <v>1</v>
      </c>
      <c r="B30" s="1" t="s">
        <v>86</v>
      </c>
      <c r="C30" s="1" t="s">
        <v>49</v>
      </c>
      <c r="D30" s="15" t="s">
        <v>50</v>
      </c>
      <c r="E30" s="1" t="s">
        <v>88</v>
      </c>
      <c r="H30" s="1" t="s">
        <v>90</v>
      </c>
      <c r="I30" s="1" t="s">
        <v>93</v>
      </c>
    </row>
    <row r="31" spans="1:15" x14ac:dyDescent="0.25">
      <c r="A31" s="1" t="s">
        <v>100</v>
      </c>
      <c r="B31" s="1" t="s">
        <v>101</v>
      </c>
      <c r="C31" s="1" t="s">
        <v>49</v>
      </c>
      <c r="D31" s="15" t="s">
        <v>50</v>
      </c>
      <c r="E31" s="1" t="s">
        <v>99</v>
      </c>
      <c r="H31" s="1" t="s">
        <v>31</v>
      </c>
      <c r="I31" s="1" t="s">
        <v>105</v>
      </c>
      <c r="J31" s="1" t="s">
        <v>111</v>
      </c>
      <c r="M31" s="1" t="s">
        <v>128</v>
      </c>
      <c r="O31" s="1" t="s">
        <v>127</v>
      </c>
    </row>
    <row r="32" spans="1:15" x14ac:dyDescent="0.25">
      <c r="A32" s="1" t="s">
        <v>100</v>
      </c>
      <c r="B32" s="1" t="s">
        <v>102</v>
      </c>
      <c r="C32" s="1" t="s">
        <v>49</v>
      </c>
      <c r="D32" s="15" t="s">
        <v>50</v>
      </c>
      <c r="E32" s="1" t="s">
        <v>99</v>
      </c>
      <c r="H32" s="1" t="s">
        <v>31</v>
      </c>
      <c r="I32" s="1" t="s">
        <v>105</v>
      </c>
      <c r="J32" s="1" t="s">
        <v>112</v>
      </c>
      <c r="M32" s="1" t="s">
        <v>128</v>
      </c>
      <c r="O32" s="1" t="s">
        <v>127</v>
      </c>
    </row>
    <row r="33" spans="1:15" x14ac:dyDescent="0.25">
      <c r="A33" s="1" t="s">
        <v>100</v>
      </c>
      <c r="B33" s="1" t="s">
        <v>103</v>
      </c>
      <c r="C33" s="1" t="s">
        <v>49</v>
      </c>
      <c r="D33" s="15" t="s">
        <v>50</v>
      </c>
      <c r="E33" s="1" t="s">
        <v>99</v>
      </c>
      <c r="H33" s="1" t="s">
        <v>31</v>
      </c>
      <c r="I33" s="1" t="s">
        <v>105</v>
      </c>
      <c r="J33" s="1" t="s">
        <v>113</v>
      </c>
      <c r="M33" s="1" t="s">
        <v>128</v>
      </c>
      <c r="O33" s="1" t="s">
        <v>127</v>
      </c>
    </row>
    <row r="34" spans="1:15" x14ac:dyDescent="0.25">
      <c r="A34" s="1" t="s">
        <v>100</v>
      </c>
      <c r="B34" s="1" t="s">
        <v>104</v>
      </c>
      <c r="C34" s="1" t="s">
        <v>49</v>
      </c>
      <c r="D34" s="15" t="s">
        <v>50</v>
      </c>
      <c r="E34" s="1" t="s">
        <v>99</v>
      </c>
      <c r="H34" s="1" t="s">
        <v>31</v>
      </c>
      <c r="I34" s="1" t="s">
        <v>105</v>
      </c>
      <c r="J34" s="1" t="s">
        <v>114</v>
      </c>
      <c r="M34" s="1" t="s">
        <v>128</v>
      </c>
      <c r="O34" s="1" t="s">
        <v>127</v>
      </c>
    </row>
    <row r="35" spans="1:15" x14ac:dyDescent="0.25">
      <c r="A35" s="1" t="s">
        <v>32</v>
      </c>
      <c r="B35" s="1" t="s">
        <v>106</v>
      </c>
      <c r="C35" s="1" t="s">
        <v>49</v>
      </c>
      <c r="D35" s="15" t="s">
        <v>50</v>
      </c>
      <c r="E35" s="1" t="s">
        <v>131</v>
      </c>
      <c r="H35" s="1" t="s">
        <v>34</v>
      </c>
      <c r="I35" s="1" t="s">
        <v>125</v>
      </c>
      <c r="J35" s="1" t="s">
        <v>115</v>
      </c>
      <c r="M35" s="1" t="s">
        <v>133</v>
      </c>
      <c r="O35" s="1" t="s">
        <v>126</v>
      </c>
    </row>
    <row r="36" spans="1:15" x14ac:dyDescent="0.25">
      <c r="A36" s="1" t="s">
        <v>32</v>
      </c>
      <c r="B36" s="1" t="s">
        <v>107</v>
      </c>
      <c r="C36" s="1" t="s">
        <v>49</v>
      </c>
      <c r="D36" s="15" t="s">
        <v>50</v>
      </c>
      <c r="E36" s="1" t="s">
        <v>131</v>
      </c>
      <c r="H36" s="1" t="s">
        <v>34</v>
      </c>
      <c r="I36" s="1" t="s">
        <v>125</v>
      </c>
      <c r="J36" s="1" t="s">
        <v>116</v>
      </c>
      <c r="M36" s="1" t="s">
        <v>133</v>
      </c>
      <c r="O36" s="1" t="s">
        <v>126</v>
      </c>
    </row>
    <row r="37" spans="1:15" x14ac:dyDescent="0.25">
      <c r="A37" s="1" t="s">
        <v>32</v>
      </c>
      <c r="B37" s="1" t="s">
        <v>108</v>
      </c>
      <c r="C37" s="1" t="s">
        <v>49</v>
      </c>
      <c r="D37" s="15" t="s">
        <v>50</v>
      </c>
      <c r="E37" s="1" t="s">
        <v>131</v>
      </c>
      <c r="H37" s="1" t="s">
        <v>34</v>
      </c>
      <c r="I37" s="1" t="s">
        <v>125</v>
      </c>
      <c r="J37" s="1" t="s">
        <v>117</v>
      </c>
      <c r="M37" s="1" t="s">
        <v>133</v>
      </c>
      <c r="O37" s="1" t="s">
        <v>126</v>
      </c>
    </row>
    <row r="38" spans="1:15" x14ac:dyDescent="0.25">
      <c r="A38" s="1" t="s">
        <v>32</v>
      </c>
      <c r="B38" s="1" t="s">
        <v>109</v>
      </c>
      <c r="C38" s="1" t="s">
        <v>49</v>
      </c>
      <c r="D38" s="15" t="s">
        <v>50</v>
      </c>
      <c r="E38" s="1" t="s">
        <v>131</v>
      </c>
      <c r="H38" s="1" t="s">
        <v>34</v>
      </c>
      <c r="I38" s="1" t="s">
        <v>125</v>
      </c>
      <c r="J38" s="1" t="s">
        <v>118</v>
      </c>
      <c r="M38" s="1" t="s">
        <v>133</v>
      </c>
      <c r="O38" s="1" t="s">
        <v>126</v>
      </c>
    </row>
    <row r="39" spans="1:15" x14ac:dyDescent="0.25">
      <c r="A39" s="1" t="s">
        <v>32</v>
      </c>
      <c r="B39" s="1" t="s">
        <v>110</v>
      </c>
      <c r="C39" s="1" t="s">
        <v>49</v>
      </c>
      <c r="D39" s="15" t="s">
        <v>50</v>
      </c>
      <c r="E39" s="1" t="s">
        <v>131</v>
      </c>
      <c r="H39" s="1" t="s">
        <v>34</v>
      </c>
      <c r="I39" s="1" t="s">
        <v>125</v>
      </c>
      <c r="J39" s="1" t="s">
        <v>119</v>
      </c>
      <c r="M39" s="1" t="s">
        <v>133</v>
      </c>
      <c r="O39" s="1" t="s">
        <v>126</v>
      </c>
    </row>
    <row r="40" spans="1:15" x14ac:dyDescent="0.25">
      <c r="A40" s="1" t="s">
        <v>121</v>
      </c>
      <c r="B40" s="1" t="s">
        <v>122</v>
      </c>
      <c r="C40" s="1" t="s">
        <v>49</v>
      </c>
      <c r="D40" s="15" t="s">
        <v>50</v>
      </c>
      <c r="E40" s="1" t="s">
        <v>120</v>
      </c>
      <c r="H40" s="1" t="s">
        <v>31</v>
      </c>
      <c r="I40" s="1" t="s">
        <v>123</v>
      </c>
      <c r="J40" s="1" t="s">
        <v>124</v>
      </c>
      <c r="M40" s="1" t="s">
        <v>129</v>
      </c>
      <c r="O40" s="1" t="s">
        <v>126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CC190-D28D-46FB-B6B3-C5D4670124CA}">
  <dimension ref="A1:AC141"/>
  <sheetViews>
    <sheetView workbookViewId="0">
      <selection activeCell="E2" sqref="E2"/>
    </sheetView>
  </sheetViews>
  <sheetFormatPr defaultRowHeight="15" x14ac:dyDescent="0.25"/>
  <cols>
    <col min="1" max="1" width="9.140625" style="1"/>
    <col min="2" max="2" width="16.5703125" style="1" bestFit="1" customWidth="1"/>
    <col min="3" max="3" width="13.85546875" style="1" customWidth="1"/>
    <col min="4" max="4" width="18.85546875" style="1" customWidth="1"/>
    <col min="5" max="5" width="42.42578125" style="1" customWidth="1"/>
    <col min="6" max="6" width="12.7109375" style="1" customWidth="1"/>
    <col min="7" max="7" width="20" style="1" customWidth="1"/>
    <col min="8" max="8" width="17.5703125" style="1" customWidth="1"/>
    <col min="9" max="9" width="15.42578125" style="1" bestFit="1" customWidth="1"/>
    <col min="10" max="10" width="18.140625" style="1" customWidth="1"/>
    <col min="11" max="11" width="20" style="1" customWidth="1"/>
    <col min="12" max="12" width="14" style="1" customWidth="1"/>
    <col min="13" max="13" width="13.85546875" style="1" customWidth="1"/>
    <col min="14" max="14" width="17.28515625" style="1" customWidth="1"/>
    <col min="15" max="15" width="18.28515625" style="1" customWidth="1"/>
    <col min="16" max="16" width="19.42578125" style="1" customWidth="1"/>
    <col min="17" max="17" width="14.42578125" style="1" customWidth="1"/>
    <col min="18" max="18" width="13.5703125" style="1" customWidth="1"/>
    <col min="19" max="19" width="18.28515625" style="1" customWidth="1"/>
    <col min="20" max="20" width="17.28515625" style="1" customWidth="1"/>
    <col min="21" max="21" width="18.28515625" style="1" customWidth="1"/>
    <col min="22" max="22" width="17.28515625" style="1" customWidth="1"/>
    <col min="23" max="23" width="15" style="1" customWidth="1"/>
    <col min="24" max="24" width="15.140625" style="1" customWidth="1"/>
    <col min="25" max="25" width="13.85546875" style="1" customWidth="1"/>
    <col min="26" max="26" width="13.140625" style="1" customWidth="1"/>
    <col min="27" max="27" width="13.28515625" style="1" customWidth="1"/>
    <col min="28" max="29" width="9.140625" style="1" customWidth="1"/>
    <col min="30" max="16384" width="9.140625" style="1"/>
  </cols>
  <sheetData>
    <row r="1" spans="1:29" ht="51" x14ac:dyDescent="0.25">
      <c r="A1" s="2" t="s">
        <v>2</v>
      </c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3" t="s">
        <v>9</v>
      </c>
      <c r="I1" s="14" t="s">
        <v>10</v>
      </c>
      <c r="J1" s="3" t="s">
        <v>11</v>
      </c>
      <c r="K1" s="3" t="s">
        <v>12</v>
      </c>
      <c r="L1" s="3" t="s">
        <v>13</v>
      </c>
      <c r="M1" s="3" t="s">
        <v>14</v>
      </c>
      <c r="N1" s="3" t="s">
        <v>15</v>
      </c>
      <c r="O1" s="3" t="s">
        <v>16</v>
      </c>
      <c r="P1" s="3" t="s">
        <v>17</v>
      </c>
      <c r="Q1" s="3" t="s">
        <v>18</v>
      </c>
      <c r="R1" s="3" t="s">
        <v>19</v>
      </c>
      <c r="S1" s="2" t="s">
        <v>20</v>
      </c>
      <c r="T1" s="2" t="s">
        <v>21</v>
      </c>
      <c r="U1" s="2" t="s">
        <v>22</v>
      </c>
      <c r="V1" s="2" t="s">
        <v>23</v>
      </c>
      <c r="W1" s="2" t="s">
        <v>24</v>
      </c>
      <c r="X1" s="2" t="s">
        <v>25</v>
      </c>
      <c r="Y1" s="2" t="s">
        <v>26</v>
      </c>
      <c r="Z1" s="4" t="s">
        <v>27</v>
      </c>
      <c r="AA1" s="4" t="s">
        <v>28</v>
      </c>
      <c r="AB1" s="4" t="s">
        <v>29</v>
      </c>
      <c r="AC1" s="4" t="s">
        <v>30</v>
      </c>
    </row>
    <row r="2" spans="1:29" x14ac:dyDescent="0.25">
      <c r="A2" s="15" t="s">
        <v>1</v>
      </c>
      <c r="B2" s="1" t="s">
        <v>134</v>
      </c>
      <c r="C2" s="1" t="s">
        <v>49</v>
      </c>
      <c r="D2" s="15" t="s">
        <v>50</v>
      </c>
      <c r="E2" s="1" t="s">
        <v>261</v>
      </c>
      <c r="H2" s="15" t="s">
        <v>90</v>
      </c>
      <c r="I2" t="s">
        <v>282</v>
      </c>
    </row>
    <row r="3" spans="1:29" x14ac:dyDescent="0.25">
      <c r="A3" s="15" t="s">
        <v>1</v>
      </c>
      <c r="B3" s="1" t="s">
        <v>135</v>
      </c>
      <c r="C3" s="1" t="s">
        <v>49</v>
      </c>
      <c r="D3" s="15" t="s">
        <v>50</v>
      </c>
      <c r="E3" s="1" t="s">
        <v>261</v>
      </c>
      <c r="H3" s="15" t="s">
        <v>90</v>
      </c>
      <c r="I3" t="s">
        <v>282</v>
      </c>
    </row>
    <row r="4" spans="1:29" x14ac:dyDescent="0.25">
      <c r="A4" s="15" t="s">
        <v>1</v>
      </c>
      <c r="B4" s="1" t="s">
        <v>136</v>
      </c>
      <c r="C4" s="1" t="s">
        <v>49</v>
      </c>
      <c r="D4" s="15" t="s">
        <v>50</v>
      </c>
      <c r="E4" s="1" t="s">
        <v>262</v>
      </c>
      <c r="H4" s="15" t="s">
        <v>90</v>
      </c>
      <c r="I4" s="1" t="s">
        <v>283</v>
      </c>
    </row>
    <row r="5" spans="1:29" x14ac:dyDescent="0.25">
      <c r="A5" s="15" t="s">
        <v>1</v>
      </c>
      <c r="B5" s="1" t="s">
        <v>137</v>
      </c>
      <c r="C5" s="1" t="s">
        <v>49</v>
      </c>
      <c r="D5" s="15" t="s">
        <v>50</v>
      </c>
      <c r="E5" s="1" t="s">
        <v>263</v>
      </c>
      <c r="H5" s="15" t="s">
        <v>90</v>
      </c>
      <c r="I5" s="1" t="s">
        <v>284</v>
      </c>
    </row>
    <row r="6" spans="1:29" x14ac:dyDescent="0.25">
      <c r="A6" s="15" t="s">
        <v>1</v>
      </c>
      <c r="B6" s="1" t="s">
        <v>138</v>
      </c>
      <c r="C6" s="1" t="s">
        <v>49</v>
      </c>
      <c r="D6" s="15" t="s">
        <v>50</v>
      </c>
      <c r="E6" s="1" t="s">
        <v>263</v>
      </c>
      <c r="H6" s="15" t="s">
        <v>90</v>
      </c>
      <c r="I6" s="1" t="s">
        <v>284</v>
      </c>
    </row>
    <row r="7" spans="1:29" x14ac:dyDescent="0.25">
      <c r="A7" s="15" t="s">
        <v>1</v>
      </c>
      <c r="B7" s="1" t="s">
        <v>139</v>
      </c>
      <c r="C7" s="1" t="s">
        <v>49</v>
      </c>
      <c r="D7" s="15" t="s">
        <v>50</v>
      </c>
      <c r="E7" s="1" t="s">
        <v>262</v>
      </c>
      <c r="H7" s="15" t="s">
        <v>90</v>
      </c>
      <c r="I7" s="1" t="s">
        <v>283</v>
      </c>
    </row>
    <row r="8" spans="1:29" x14ac:dyDescent="0.25">
      <c r="A8" s="15" t="s">
        <v>1</v>
      </c>
      <c r="B8" s="1" t="s">
        <v>140</v>
      </c>
      <c r="C8" s="1" t="s">
        <v>49</v>
      </c>
      <c r="D8" s="15" t="s">
        <v>50</v>
      </c>
      <c r="E8" s="1" t="s">
        <v>263</v>
      </c>
      <c r="H8" s="15" t="s">
        <v>90</v>
      </c>
      <c r="I8" s="1" t="s">
        <v>284</v>
      </c>
    </row>
    <row r="9" spans="1:29" x14ac:dyDescent="0.25">
      <c r="A9" s="15" t="s">
        <v>1</v>
      </c>
      <c r="B9" s="1" t="s">
        <v>141</v>
      </c>
      <c r="C9" s="1" t="s">
        <v>49</v>
      </c>
      <c r="D9" s="15" t="s">
        <v>50</v>
      </c>
      <c r="E9" s="1" t="s">
        <v>262</v>
      </c>
      <c r="H9" s="15" t="s">
        <v>90</v>
      </c>
      <c r="I9" s="1" t="s">
        <v>283</v>
      </c>
    </row>
    <row r="10" spans="1:29" x14ac:dyDescent="0.25">
      <c r="A10" s="15" t="s">
        <v>1</v>
      </c>
      <c r="B10" s="1" t="s">
        <v>142</v>
      </c>
      <c r="C10" s="1" t="s">
        <v>49</v>
      </c>
      <c r="D10" s="15" t="s">
        <v>50</v>
      </c>
      <c r="E10" s="1" t="s">
        <v>263</v>
      </c>
      <c r="H10" s="15" t="s">
        <v>90</v>
      </c>
      <c r="I10" s="1" t="s">
        <v>284</v>
      </c>
    </row>
    <row r="11" spans="1:29" x14ac:dyDescent="0.25">
      <c r="A11" s="15" t="s">
        <v>1</v>
      </c>
      <c r="B11" s="1" t="s">
        <v>143</v>
      </c>
      <c r="C11" s="1" t="s">
        <v>49</v>
      </c>
      <c r="D11" s="15" t="s">
        <v>50</v>
      </c>
      <c r="E11" s="1" t="s">
        <v>262</v>
      </c>
      <c r="H11" s="15" t="s">
        <v>90</v>
      </c>
      <c r="I11" s="1" t="s">
        <v>283</v>
      </c>
    </row>
    <row r="12" spans="1:29" x14ac:dyDescent="0.25">
      <c r="A12" s="15" t="s">
        <v>1</v>
      </c>
      <c r="B12" s="1" t="s">
        <v>144</v>
      </c>
      <c r="C12" s="1" t="s">
        <v>49</v>
      </c>
      <c r="D12" s="15" t="s">
        <v>50</v>
      </c>
      <c r="E12" s="1" t="s">
        <v>262</v>
      </c>
      <c r="H12" s="15" t="s">
        <v>90</v>
      </c>
      <c r="I12" s="1" t="s">
        <v>283</v>
      </c>
    </row>
    <row r="13" spans="1:29" x14ac:dyDescent="0.25">
      <c r="A13" s="15" t="s">
        <v>1</v>
      </c>
      <c r="B13" s="1" t="s">
        <v>145</v>
      </c>
      <c r="C13" s="1" t="s">
        <v>49</v>
      </c>
      <c r="D13" s="15" t="s">
        <v>50</v>
      </c>
      <c r="E13" s="1" t="s">
        <v>262</v>
      </c>
      <c r="H13" s="15" t="s">
        <v>90</v>
      </c>
      <c r="I13" s="1" t="s">
        <v>283</v>
      </c>
    </row>
    <row r="14" spans="1:29" x14ac:dyDescent="0.25">
      <c r="A14" s="15" t="s">
        <v>1</v>
      </c>
      <c r="B14" s="1" t="s">
        <v>146</v>
      </c>
      <c r="C14" s="1" t="s">
        <v>49</v>
      </c>
      <c r="D14" s="15" t="s">
        <v>50</v>
      </c>
      <c r="E14" s="1" t="s">
        <v>263</v>
      </c>
      <c r="H14" s="15" t="s">
        <v>90</v>
      </c>
      <c r="I14" s="1" t="s">
        <v>284</v>
      </c>
    </row>
    <row r="15" spans="1:29" x14ac:dyDescent="0.25">
      <c r="A15" s="15" t="s">
        <v>1</v>
      </c>
      <c r="B15" s="1" t="s">
        <v>147</v>
      </c>
      <c r="C15" s="1" t="s">
        <v>49</v>
      </c>
      <c r="D15" s="15" t="s">
        <v>50</v>
      </c>
      <c r="E15" s="1" t="s">
        <v>262</v>
      </c>
      <c r="H15" s="15" t="s">
        <v>90</v>
      </c>
      <c r="I15" s="1" t="s">
        <v>283</v>
      </c>
    </row>
    <row r="16" spans="1:29" x14ac:dyDescent="0.25">
      <c r="A16" s="15" t="s">
        <v>1</v>
      </c>
      <c r="B16" s="1" t="s">
        <v>148</v>
      </c>
      <c r="C16" s="1" t="s">
        <v>49</v>
      </c>
      <c r="D16" s="15" t="s">
        <v>50</v>
      </c>
      <c r="E16" s="1" t="s">
        <v>263</v>
      </c>
      <c r="H16" s="15" t="s">
        <v>90</v>
      </c>
      <c r="I16" s="1" t="s">
        <v>284</v>
      </c>
    </row>
    <row r="17" spans="1:9" x14ac:dyDescent="0.25">
      <c r="A17" s="15" t="s">
        <v>1</v>
      </c>
      <c r="B17" s="1" t="s">
        <v>149</v>
      </c>
      <c r="C17" s="1" t="s">
        <v>49</v>
      </c>
      <c r="D17" s="15" t="s">
        <v>50</v>
      </c>
      <c r="E17" s="1" t="s">
        <v>262</v>
      </c>
      <c r="H17" s="15" t="s">
        <v>90</v>
      </c>
      <c r="I17" s="1" t="s">
        <v>283</v>
      </c>
    </row>
    <row r="18" spans="1:9" x14ac:dyDescent="0.25">
      <c r="A18" s="15" t="s">
        <v>1</v>
      </c>
      <c r="B18" s="1" t="s">
        <v>150</v>
      </c>
      <c r="C18" s="1" t="s">
        <v>49</v>
      </c>
      <c r="D18" s="15" t="s">
        <v>50</v>
      </c>
      <c r="E18" s="1" t="s">
        <v>263</v>
      </c>
      <c r="H18" s="15" t="s">
        <v>90</v>
      </c>
      <c r="I18" s="1" t="s">
        <v>284</v>
      </c>
    </row>
    <row r="19" spans="1:9" x14ac:dyDescent="0.25">
      <c r="A19" s="15" t="s">
        <v>1</v>
      </c>
      <c r="B19" s="1" t="s">
        <v>151</v>
      </c>
      <c r="C19" s="1" t="s">
        <v>49</v>
      </c>
      <c r="D19" s="15" t="s">
        <v>50</v>
      </c>
      <c r="E19" s="1" t="s">
        <v>263</v>
      </c>
      <c r="H19" s="15" t="s">
        <v>90</v>
      </c>
      <c r="I19" s="1" t="s">
        <v>284</v>
      </c>
    </row>
    <row r="20" spans="1:9" x14ac:dyDescent="0.25">
      <c r="A20" s="15" t="s">
        <v>1</v>
      </c>
      <c r="B20" s="1" t="s">
        <v>152</v>
      </c>
      <c r="C20" s="1" t="s">
        <v>49</v>
      </c>
      <c r="D20" s="15" t="s">
        <v>50</v>
      </c>
      <c r="E20" s="1" t="s">
        <v>262</v>
      </c>
      <c r="H20" s="15" t="s">
        <v>90</v>
      </c>
      <c r="I20" s="1" t="s">
        <v>283</v>
      </c>
    </row>
    <row r="21" spans="1:9" x14ac:dyDescent="0.25">
      <c r="A21" s="15" t="s">
        <v>1</v>
      </c>
      <c r="B21" s="1" t="s">
        <v>153</v>
      </c>
      <c r="C21" s="1" t="s">
        <v>49</v>
      </c>
      <c r="D21" s="15" t="s">
        <v>50</v>
      </c>
      <c r="E21" s="1" t="s">
        <v>263</v>
      </c>
      <c r="H21" s="15" t="s">
        <v>90</v>
      </c>
      <c r="I21" s="1" t="s">
        <v>284</v>
      </c>
    </row>
    <row r="22" spans="1:9" x14ac:dyDescent="0.25">
      <c r="A22" s="15" t="s">
        <v>1</v>
      </c>
      <c r="B22" s="1" t="s">
        <v>154</v>
      </c>
      <c r="C22" s="1" t="s">
        <v>49</v>
      </c>
      <c r="D22" s="15" t="s">
        <v>50</v>
      </c>
      <c r="E22" s="1" t="s">
        <v>263</v>
      </c>
      <c r="H22" s="15" t="s">
        <v>90</v>
      </c>
      <c r="I22" s="1" t="s">
        <v>284</v>
      </c>
    </row>
    <row r="23" spans="1:9" x14ac:dyDescent="0.25">
      <c r="A23" s="15" t="s">
        <v>1</v>
      </c>
      <c r="B23" s="1" t="s">
        <v>155</v>
      </c>
      <c r="C23" s="1" t="s">
        <v>49</v>
      </c>
      <c r="D23" s="15" t="s">
        <v>50</v>
      </c>
      <c r="E23" s="1" t="s">
        <v>263</v>
      </c>
      <c r="H23" s="15" t="s">
        <v>90</v>
      </c>
      <c r="I23" s="1" t="s">
        <v>284</v>
      </c>
    </row>
    <row r="24" spans="1:9" x14ac:dyDescent="0.25">
      <c r="A24" s="15" t="s">
        <v>1</v>
      </c>
      <c r="B24" s="1" t="s">
        <v>156</v>
      </c>
      <c r="C24" s="1" t="s">
        <v>49</v>
      </c>
      <c r="D24" s="15" t="s">
        <v>50</v>
      </c>
      <c r="E24" s="1" t="s">
        <v>263</v>
      </c>
      <c r="H24" s="15" t="s">
        <v>90</v>
      </c>
      <c r="I24" s="1" t="s">
        <v>284</v>
      </c>
    </row>
    <row r="25" spans="1:9" x14ac:dyDescent="0.25">
      <c r="A25" s="15" t="s">
        <v>1</v>
      </c>
      <c r="B25" s="1" t="s">
        <v>157</v>
      </c>
      <c r="C25" s="1" t="s">
        <v>49</v>
      </c>
      <c r="D25" s="15" t="s">
        <v>50</v>
      </c>
      <c r="E25" s="1" t="s">
        <v>262</v>
      </c>
      <c r="H25" s="15" t="s">
        <v>90</v>
      </c>
      <c r="I25" s="1" t="s">
        <v>283</v>
      </c>
    </row>
    <row r="26" spans="1:9" x14ac:dyDescent="0.25">
      <c r="A26" s="15" t="s">
        <v>1</v>
      </c>
      <c r="B26" s="1" t="s">
        <v>158</v>
      </c>
      <c r="C26" s="1" t="s">
        <v>49</v>
      </c>
      <c r="D26" s="15" t="s">
        <v>50</v>
      </c>
      <c r="E26" s="1" t="s">
        <v>263</v>
      </c>
      <c r="H26" s="15" t="s">
        <v>90</v>
      </c>
      <c r="I26" s="1" t="s">
        <v>284</v>
      </c>
    </row>
    <row r="27" spans="1:9" x14ac:dyDescent="0.25">
      <c r="A27" s="15" t="s">
        <v>1</v>
      </c>
      <c r="B27" s="1" t="s">
        <v>159</v>
      </c>
      <c r="C27" s="1" t="s">
        <v>49</v>
      </c>
      <c r="D27" s="15" t="s">
        <v>50</v>
      </c>
      <c r="E27" s="1" t="s">
        <v>263</v>
      </c>
      <c r="H27" s="15" t="s">
        <v>90</v>
      </c>
      <c r="I27" s="1" t="s">
        <v>284</v>
      </c>
    </row>
    <row r="28" spans="1:9" x14ac:dyDescent="0.25">
      <c r="A28" s="15" t="s">
        <v>1</v>
      </c>
      <c r="B28" s="1" t="s">
        <v>160</v>
      </c>
      <c r="C28" s="1" t="s">
        <v>49</v>
      </c>
      <c r="D28" s="15" t="s">
        <v>50</v>
      </c>
      <c r="E28" s="1" t="s">
        <v>263</v>
      </c>
      <c r="H28" s="15" t="s">
        <v>90</v>
      </c>
      <c r="I28" s="1" t="s">
        <v>284</v>
      </c>
    </row>
    <row r="29" spans="1:9" x14ac:dyDescent="0.25">
      <c r="A29" s="15" t="s">
        <v>1</v>
      </c>
      <c r="B29" s="1" t="s">
        <v>161</v>
      </c>
      <c r="C29" s="1" t="s">
        <v>49</v>
      </c>
      <c r="D29" s="15" t="s">
        <v>50</v>
      </c>
      <c r="E29" s="1" t="s">
        <v>262</v>
      </c>
      <c r="H29" s="15" t="s">
        <v>90</v>
      </c>
      <c r="I29" s="1" t="s">
        <v>283</v>
      </c>
    </row>
    <row r="30" spans="1:9" x14ac:dyDescent="0.25">
      <c r="A30" s="15" t="s">
        <v>1</v>
      </c>
      <c r="B30" s="1" t="s">
        <v>162</v>
      </c>
      <c r="C30" s="1" t="s">
        <v>49</v>
      </c>
      <c r="D30" s="15" t="s">
        <v>50</v>
      </c>
      <c r="E30" s="1" t="s">
        <v>263</v>
      </c>
      <c r="H30" s="15" t="s">
        <v>90</v>
      </c>
      <c r="I30" s="1" t="s">
        <v>284</v>
      </c>
    </row>
    <row r="31" spans="1:9" x14ac:dyDescent="0.25">
      <c r="A31" s="15" t="s">
        <v>1</v>
      </c>
      <c r="B31" s="1" t="s">
        <v>163</v>
      </c>
      <c r="C31" s="1" t="s">
        <v>49</v>
      </c>
      <c r="D31" s="15" t="s">
        <v>50</v>
      </c>
      <c r="E31" s="1" t="s">
        <v>263</v>
      </c>
      <c r="H31" s="15" t="s">
        <v>90</v>
      </c>
      <c r="I31" s="1" t="s">
        <v>284</v>
      </c>
    </row>
    <row r="32" spans="1:9" x14ac:dyDescent="0.25">
      <c r="A32" s="15" t="s">
        <v>1</v>
      </c>
      <c r="B32" s="1" t="s">
        <v>164</v>
      </c>
      <c r="C32" s="1" t="s">
        <v>49</v>
      </c>
      <c r="D32" s="15" t="s">
        <v>50</v>
      </c>
      <c r="E32" s="1" t="s">
        <v>263</v>
      </c>
      <c r="H32" s="15" t="s">
        <v>90</v>
      </c>
      <c r="I32" s="1" t="s">
        <v>284</v>
      </c>
    </row>
    <row r="33" spans="1:9" x14ac:dyDescent="0.25">
      <c r="A33" s="15" t="s">
        <v>1</v>
      </c>
      <c r="B33" s="1" t="s">
        <v>165</v>
      </c>
      <c r="C33" s="1" t="s">
        <v>49</v>
      </c>
      <c r="D33" s="15" t="s">
        <v>50</v>
      </c>
      <c r="E33" s="1" t="s">
        <v>263</v>
      </c>
      <c r="H33" s="15" t="s">
        <v>90</v>
      </c>
      <c r="I33" s="1" t="s">
        <v>284</v>
      </c>
    </row>
    <row r="34" spans="1:9" x14ac:dyDescent="0.25">
      <c r="A34" s="15" t="s">
        <v>1</v>
      </c>
      <c r="B34" s="1" t="s">
        <v>166</v>
      </c>
      <c r="C34" s="1" t="s">
        <v>49</v>
      </c>
      <c r="D34" s="15" t="s">
        <v>50</v>
      </c>
      <c r="E34" s="1" t="s">
        <v>263</v>
      </c>
      <c r="H34" s="15" t="s">
        <v>90</v>
      </c>
      <c r="I34" s="1" t="s">
        <v>284</v>
      </c>
    </row>
    <row r="35" spans="1:9" x14ac:dyDescent="0.25">
      <c r="A35" s="15" t="s">
        <v>1</v>
      </c>
      <c r="B35" s="1" t="s">
        <v>167</v>
      </c>
      <c r="C35" s="1" t="s">
        <v>49</v>
      </c>
      <c r="D35" s="15" t="s">
        <v>50</v>
      </c>
      <c r="E35" s="1" t="s">
        <v>262</v>
      </c>
      <c r="H35" s="15" t="s">
        <v>90</v>
      </c>
      <c r="I35" s="1" t="s">
        <v>283</v>
      </c>
    </row>
    <row r="36" spans="1:9" x14ac:dyDescent="0.25">
      <c r="A36" s="15" t="s">
        <v>1</v>
      </c>
      <c r="B36" s="1" t="s">
        <v>168</v>
      </c>
      <c r="C36" s="1" t="s">
        <v>49</v>
      </c>
      <c r="D36" s="15" t="s">
        <v>50</v>
      </c>
      <c r="E36" s="1" t="s">
        <v>264</v>
      </c>
      <c r="H36" s="15" t="s">
        <v>90</v>
      </c>
      <c r="I36" t="s">
        <v>285</v>
      </c>
    </row>
    <row r="37" spans="1:9" x14ac:dyDescent="0.25">
      <c r="A37" s="15" t="s">
        <v>1</v>
      </c>
      <c r="B37" s="1" t="s">
        <v>169</v>
      </c>
      <c r="C37" s="1" t="s">
        <v>49</v>
      </c>
      <c r="D37" s="15" t="s">
        <v>50</v>
      </c>
      <c r="E37" s="1" t="s">
        <v>263</v>
      </c>
      <c r="H37" s="15" t="s">
        <v>90</v>
      </c>
      <c r="I37" s="1" t="s">
        <v>284</v>
      </c>
    </row>
    <row r="38" spans="1:9" x14ac:dyDescent="0.25">
      <c r="A38" s="15" t="s">
        <v>1</v>
      </c>
      <c r="B38" s="1" t="s">
        <v>170</v>
      </c>
      <c r="C38" s="1" t="s">
        <v>49</v>
      </c>
      <c r="D38" s="15" t="s">
        <v>50</v>
      </c>
      <c r="E38" s="1" t="s">
        <v>262</v>
      </c>
      <c r="H38" s="15" t="s">
        <v>90</v>
      </c>
      <c r="I38" s="1" t="s">
        <v>283</v>
      </c>
    </row>
    <row r="39" spans="1:9" x14ac:dyDescent="0.25">
      <c r="A39" s="15" t="s">
        <v>1</v>
      </c>
      <c r="B39" s="1" t="s">
        <v>171</v>
      </c>
      <c r="C39" s="1" t="s">
        <v>49</v>
      </c>
      <c r="D39" s="15" t="s">
        <v>50</v>
      </c>
      <c r="E39" s="1" t="s">
        <v>263</v>
      </c>
      <c r="H39" s="15" t="s">
        <v>90</v>
      </c>
      <c r="I39" s="1" t="s">
        <v>284</v>
      </c>
    </row>
    <row r="40" spans="1:9" x14ac:dyDescent="0.25">
      <c r="A40" s="15" t="s">
        <v>1</v>
      </c>
      <c r="B40" s="1" t="s">
        <v>172</v>
      </c>
      <c r="C40" s="1" t="s">
        <v>49</v>
      </c>
      <c r="D40" s="15" t="s">
        <v>50</v>
      </c>
      <c r="E40" s="1" t="s">
        <v>263</v>
      </c>
      <c r="H40" s="15" t="s">
        <v>90</v>
      </c>
      <c r="I40" s="1" t="s">
        <v>284</v>
      </c>
    </row>
    <row r="41" spans="1:9" x14ac:dyDescent="0.25">
      <c r="A41" s="15" t="s">
        <v>1</v>
      </c>
      <c r="B41" s="1" t="s">
        <v>173</v>
      </c>
      <c r="C41" s="1" t="s">
        <v>49</v>
      </c>
      <c r="D41" s="15" t="s">
        <v>50</v>
      </c>
      <c r="E41" s="1" t="s">
        <v>263</v>
      </c>
      <c r="H41" s="15" t="s">
        <v>90</v>
      </c>
      <c r="I41" s="1" t="s">
        <v>284</v>
      </c>
    </row>
    <row r="42" spans="1:9" x14ac:dyDescent="0.25">
      <c r="A42" s="15" t="s">
        <v>1</v>
      </c>
      <c r="B42" s="1" t="s">
        <v>174</v>
      </c>
      <c r="C42" s="1" t="s">
        <v>49</v>
      </c>
      <c r="D42" s="15" t="s">
        <v>50</v>
      </c>
      <c r="E42" s="1" t="s">
        <v>262</v>
      </c>
      <c r="H42" s="15" t="s">
        <v>90</v>
      </c>
      <c r="I42" s="1" t="s">
        <v>283</v>
      </c>
    </row>
    <row r="43" spans="1:9" x14ac:dyDescent="0.25">
      <c r="A43" s="15" t="s">
        <v>1</v>
      </c>
      <c r="B43" s="1" t="s">
        <v>175</v>
      </c>
      <c r="C43" s="1" t="s">
        <v>49</v>
      </c>
      <c r="D43" s="15" t="s">
        <v>50</v>
      </c>
      <c r="E43" s="1" t="s">
        <v>263</v>
      </c>
      <c r="H43" s="15" t="s">
        <v>90</v>
      </c>
      <c r="I43" s="1" t="s">
        <v>284</v>
      </c>
    </row>
    <row r="44" spans="1:9" x14ac:dyDescent="0.25">
      <c r="A44" s="15" t="s">
        <v>1</v>
      </c>
      <c r="B44" s="1" t="s">
        <v>176</v>
      </c>
      <c r="C44" s="1" t="s">
        <v>49</v>
      </c>
      <c r="D44" s="15" t="s">
        <v>50</v>
      </c>
      <c r="E44" s="1" t="s">
        <v>262</v>
      </c>
      <c r="H44" s="15" t="s">
        <v>90</v>
      </c>
      <c r="I44" s="1" t="s">
        <v>283</v>
      </c>
    </row>
    <row r="45" spans="1:9" x14ac:dyDescent="0.25">
      <c r="A45" s="15" t="s">
        <v>1</v>
      </c>
      <c r="B45" s="1" t="s">
        <v>177</v>
      </c>
      <c r="C45" s="1" t="s">
        <v>49</v>
      </c>
      <c r="D45" s="15" t="s">
        <v>50</v>
      </c>
      <c r="E45" s="1" t="s">
        <v>263</v>
      </c>
      <c r="H45" s="15" t="s">
        <v>90</v>
      </c>
      <c r="I45" s="1" t="s">
        <v>284</v>
      </c>
    </row>
    <row r="46" spans="1:9" x14ac:dyDescent="0.25">
      <c r="A46" s="15" t="s">
        <v>1</v>
      </c>
      <c r="B46" s="1" t="s">
        <v>178</v>
      </c>
      <c r="C46" s="1" t="s">
        <v>49</v>
      </c>
      <c r="D46" s="15" t="s">
        <v>50</v>
      </c>
      <c r="E46" s="1" t="s">
        <v>263</v>
      </c>
      <c r="H46" s="15" t="s">
        <v>90</v>
      </c>
      <c r="I46" s="1" t="s">
        <v>284</v>
      </c>
    </row>
    <row r="47" spans="1:9" x14ac:dyDescent="0.25">
      <c r="A47" s="15" t="s">
        <v>1</v>
      </c>
      <c r="B47" s="1" t="s">
        <v>179</v>
      </c>
      <c r="C47" s="1" t="s">
        <v>49</v>
      </c>
      <c r="D47" s="15" t="s">
        <v>50</v>
      </c>
      <c r="E47" s="1" t="s">
        <v>262</v>
      </c>
      <c r="H47" s="15" t="s">
        <v>90</v>
      </c>
      <c r="I47" s="1" t="s">
        <v>283</v>
      </c>
    </row>
    <row r="48" spans="1:9" x14ac:dyDescent="0.25">
      <c r="A48" s="15" t="s">
        <v>1</v>
      </c>
      <c r="B48" s="1" t="s">
        <v>180</v>
      </c>
      <c r="C48" s="1" t="s">
        <v>49</v>
      </c>
      <c r="D48" s="15" t="s">
        <v>50</v>
      </c>
      <c r="E48" s="1" t="s">
        <v>262</v>
      </c>
      <c r="H48" s="15" t="s">
        <v>90</v>
      </c>
      <c r="I48" s="1" t="s">
        <v>283</v>
      </c>
    </row>
    <row r="49" spans="1:9" x14ac:dyDescent="0.25">
      <c r="A49" s="15" t="s">
        <v>1</v>
      </c>
      <c r="B49" s="1" t="s">
        <v>181</v>
      </c>
      <c r="C49" s="1" t="s">
        <v>49</v>
      </c>
      <c r="D49" s="15" t="s">
        <v>50</v>
      </c>
      <c r="E49" s="1" t="s">
        <v>263</v>
      </c>
      <c r="H49" s="15" t="s">
        <v>90</v>
      </c>
      <c r="I49" s="1" t="s">
        <v>284</v>
      </c>
    </row>
    <row r="50" spans="1:9" x14ac:dyDescent="0.25">
      <c r="A50" s="15" t="s">
        <v>1</v>
      </c>
      <c r="B50" s="1" t="s">
        <v>182</v>
      </c>
      <c r="C50" s="1" t="s">
        <v>49</v>
      </c>
      <c r="D50" s="15" t="s">
        <v>50</v>
      </c>
      <c r="E50" s="1" t="s">
        <v>262</v>
      </c>
      <c r="H50" s="15" t="s">
        <v>90</v>
      </c>
      <c r="I50" s="1" t="s">
        <v>283</v>
      </c>
    </row>
    <row r="51" spans="1:9" x14ac:dyDescent="0.25">
      <c r="A51" s="15" t="s">
        <v>1</v>
      </c>
      <c r="B51" s="1" t="s">
        <v>183</v>
      </c>
      <c r="C51" s="1" t="s">
        <v>49</v>
      </c>
      <c r="D51" s="15" t="s">
        <v>50</v>
      </c>
      <c r="E51" s="1" t="s">
        <v>263</v>
      </c>
      <c r="H51" s="15" t="s">
        <v>90</v>
      </c>
      <c r="I51" s="1" t="s">
        <v>284</v>
      </c>
    </row>
    <row r="52" spans="1:9" x14ac:dyDescent="0.25">
      <c r="A52" s="15" t="s">
        <v>1</v>
      </c>
      <c r="B52" s="1" t="s">
        <v>184</v>
      </c>
      <c r="C52" s="1" t="s">
        <v>49</v>
      </c>
      <c r="D52" s="15" t="s">
        <v>50</v>
      </c>
      <c r="E52" s="1" t="s">
        <v>262</v>
      </c>
      <c r="H52" s="15" t="s">
        <v>90</v>
      </c>
      <c r="I52" s="1" t="s">
        <v>283</v>
      </c>
    </row>
    <row r="53" spans="1:9" x14ac:dyDescent="0.25">
      <c r="A53" s="15" t="s">
        <v>1</v>
      </c>
      <c r="B53" s="1" t="s">
        <v>185</v>
      </c>
      <c r="C53" s="1" t="s">
        <v>49</v>
      </c>
      <c r="D53" s="15" t="s">
        <v>50</v>
      </c>
      <c r="E53" s="1" t="s">
        <v>264</v>
      </c>
      <c r="H53" s="15" t="s">
        <v>90</v>
      </c>
      <c r="I53" t="s">
        <v>285</v>
      </c>
    </row>
    <row r="54" spans="1:9" x14ac:dyDescent="0.25">
      <c r="A54" s="15" t="s">
        <v>1</v>
      </c>
      <c r="B54" s="1" t="s">
        <v>186</v>
      </c>
      <c r="C54" s="1" t="s">
        <v>49</v>
      </c>
      <c r="D54" s="15" t="s">
        <v>50</v>
      </c>
      <c r="E54" s="1" t="s">
        <v>263</v>
      </c>
      <c r="H54" s="15" t="s">
        <v>90</v>
      </c>
      <c r="I54" s="1" t="s">
        <v>284</v>
      </c>
    </row>
    <row r="55" spans="1:9" x14ac:dyDescent="0.25">
      <c r="A55" s="15" t="s">
        <v>1</v>
      </c>
      <c r="B55" s="1" t="s">
        <v>187</v>
      </c>
      <c r="C55" s="1" t="s">
        <v>49</v>
      </c>
      <c r="D55" s="15" t="s">
        <v>50</v>
      </c>
      <c r="E55" s="1" t="s">
        <v>263</v>
      </c>
      <c r="H55" s="15" t="s">
        <v>90</v>
      </c>
      <c r="I55" s="1" t="s">
        <v>284</v>
      </c>
    </row>
    <row r="56" spans="1:9" x14ac:dyDescent="0.25">
      <c r="A56" s="15" t="s">
        <v>1</v>
      </c>
      <c r="B56" s="1" t="s">
        <v>188</v>
      </c>
      <c r="C56" s="1" t="s">
        <v>49</v>
      </c>
      <c r="D56" s="15" t="s">
        <v>50</v>
      </c>
      <c r="E56" s="1" t="s">
        <v>262</v>
      </c>
      <c r="H56" s="15" t="s">
        <v>90</v>
      </c>
      <c r="I56" s="1" t="s">
        <v>283</v>
      </c>
    </row>
    <row r="57" spans="1:9" x14ac:dyDescent="0.25">
      <c r="A57" s="15" t="s">
        <v>1</v>
      </c>
      <c r="B57" s="1" t="s">
        <v>189</v>
      </c>
      <c r="C57" s="1" t="s">
        <v>49</v>
      </c>
      <c r="D57" s="15" t="s">
        <v>50</v>
      </c>
      <c r="E57" s="1" t="s">
        <v>264</v>
      </c>
      <c r="H57" s="15" t="s">
        <v>90</v>
      </c>
      <c r="I57" t="s">
        <v>285</v>
      </c>
    </row>
    <row r="58" spans="1:9" x14ac:dyDescent="0.25">
      <c r="A58" s="15" t="s">
        <v>1</v>
      </c>
      <c r="B58" s="1" t="s">
        <v>190</v>
      </c>
      <c r="C58" s="1" t="s">
        <v>49</v>
      </c>
      <c r="D58" s="15" t="s">
        <v>50</v>
      </c>
      <c r="E58" s="1" t="s">
        <v>262</v>
      </c>
      <c r="H58" s="15" t="s">
        <v>90</v>
      </c>
      <c r="I58" s="1" t="s">
        <v>283</v>
      </c>
    </row>
    <row r="59" spans="1:9" x14ac:dyDescent="0.25">
      <c r="A59" s="15" t="s">
        <v>1</v>
      </c>
      <c r="B59" s="1" t="s">
        <v>191</v>
      </c>
      <c r="C59" s="1" t="s">
        <v>49</v>
      </c>
      <c r="D59" s="15" t="s">
        <v>50</v>
      </c>
      <c r="E59" s="1" t="s">
        <v>264</v>
      </c>
      <c r="H59" s="15" t="s">
        <v>90</v>
      </c>
      <c r="I59" t="s">
        <v>285</v>
      </c>
    </row>
    <row r="60" spans="1:9" x14ac:dyDescent="0.25">
      <c r="A60" s="15" t="s">
        <v>1</v>
      </c>
      <c r="B60" s="1" t="s">
        <v>192</v>
      </c>
      <c r="C60" s="1" t="s">
        <v>49</v>
      </c>
      <c r="D60" s="15" t="s">
        <v>50</v>
      </c>
      <c r="E60" s="1" t="s">
        <v>262</v>
      </c>
      <c r="H60" s="15" t="s">
        <v>90</v>
      </c>
      <c r="I60" s="1" t="s">
        <v>283</v>
      </c>
    </row>
    <row r="61" spans="1:9" x14ac:dyDescent="0.25">
      <c r="A61" s="15" t="s">
        <v>1</v>
      </c>
      <c r="B61" s="1" t="s">
        <v>193</v>
      </c>
      <c r="C61" s="1" t="s">
        <v>49</v>
      </c>
      <c r="D61" s="15" t="s">
        <v>50</v>
      </c>
      <c r="E61" s="1" t="s">
        <v>264</v>
      </c>
      <c r="H61" s="15" t="s">
        <v>90</v>
      </c>
      <c r="I61" t="s">
        <v>285</v>
      </c>
    </row>
    <row r="62" spans="1:9" x14ac:dyDescent="0.25">
      <c r="A62" s="15" t="s">
        <v>1</v>
      </c>
      <c r="B62" s="1" t="s">
        <v>194</v>
      </c>
      <c r="C62" s="1" t="s">
        <v>49</v>
      </c>
      <c r="D62" s="15" t="s">
        <v>50</v>
      </c>
      <c r="E62" s="1" t="s">
        <v>262</v>
      </c>
      <c r="H62" s="15" t="s">
        <v>90</v>
      </c>
      <c r="I62" s="1" t="s">
        <v>283</v>
      </c>
    </row>
    <row r="63" spans="1:9" x14ac:dyDescent="0.25">
      <c r="A63" s="15" t="s">
        <v>1</v>
      </c>
      <c r="B63" s="1" t="s">
        <v>195</v>
      </c>
      <c r="C63" s="1" t="s">
        <v>49</v>
      </c>
      <c r="D63" s="15" t="s">
        <v>50</v>
      </c>
      <c r="E63" s="1" t="s">
        <v>263</v>
      </c>
      <c r="H63" s="15" t="s">
        <v>90</v>
      </c>
      <c r="I63" s="1" t="s">
        <v>284</v>
      </c>
    </row>
    <row r="64" spans="1:9" x14ac:dyDescent="0.25">
      <c r="A64" s="15" t="s">
        <v>1</v>
      </c>
      <c r="B64" s="1" t="s">
        <v>196</v>
      </c>
      <c r="C64" s="1" t="s">
        <v>49</v>
      </c>
      <c r="D64" s="15" t="s">
        <v>50</v>
      </c>
      <c r="E64" s="1" t="s">
        <v>262</v>
      </c>
      <c r="H64" s="15" t="s">
        <v>90</v>
      </c>
      <c r="I64" s="1" t="s">
        <v>283</v>
      </c>
    </row>
    <row r="65" spans="1:9" x14ac:dyDescent="0.25">
      <c r="A65" s="15" t="s">
        <v>1</v>
      </c>
      <c r="B65" s="1" t="s">
        <v>197</v>
      </c>
      <c r="C65" s="1" t="s">
        <v>49</v>
      </c>
      <c r="D65" s="15" t="s">
        <v>50</v>
      </c>
      <c r="E65" s="1" t="s">
        <v>264</v>
      </c>
      <c r="H65" s="15" t="s">
        <v>90</v>
      </c>
      <c r="I65" t="s">
        <v>285</v>
      </c>
    </row>
    <row r="66" spans="1:9" x14ac:dyDescent="0.25">
      <c r="A66" s="15" t="s">
        <v>1</v>
      </c>
      <c r="B66" s="1" t="s">
        <v>198</v>
      </c>
      <c r="C66" s="1" t="s">
        <v>49</v>
      </c>
      <c r="D66" s="15" t="s">
        <v>50</v>
      </c>
      <c r="E66" s="1" t="s">
        <v>262</v>
      </c>
      <c r="H66" s="15" t="s">
        <v>90</v>
      </c>
      <c r="I66" s="1" t="s">
        <v>283</v>
      </c>
    </row>
    <row r="67" spans="1:9" x14ac:dyDescent="0.25">
      <c r="A67" s="15" t="s">
        <v>1</v>
      </c>
      <c r="B67" s="1" t="s">
        <v>199</v>
      </c>
      <c r="C67" s="1" t="s">
        <v>49</v>
      </c>
      <c r="D67" s="15" t="s">
        <v>50</v>
      </c>
      <c r="E67" s="1" t="s">
        <v>262</v>
      </c>
      <c r="H67" s="15" t="s">
        <v>90</v>
      </c>
      <c r="I67" s="1" t="s">
        <v>283</v>
      </c>
    </row>
    <row r="68" spans="1:9" x14ac:dyDescent="0.25">
      <c r="A68" s="15" t="s">
        <v>1</v>
      </c>
      <c r="B68" s="1" t="s">
        <v>200</v>
      </c>
      <c r="C68" s="1" t="s">
        <v>49</v>
      </c>
      <c r="D68" s="15" t="s">
        <v>50</v>
      </c>
      <c r="E68" s="1" t="s">
        <v>263</v>
      </c>
      <c r="H68" s="15" t="s">
        <v>90</v>
      </c>
      <c r="I68" s="1" t="s">
        <v>284</v>
      </c>
    </row>
    <row r="69" spans="1:9" x14ac:dyDescent="0.25">
      <c r="A69" s="15" t="s">
        <v>1</v>
      </c>
      <c r="B69" s="1" t="s">
        <v>201</v>
      </c>
      <c r="C69" s="1" t="s">
        <v>49</v>
      </c>
      <c r="D69" s="15" t="s">
        <v>50</v>
      </c>
      <c r="E69" s="1" t="s">
        <v>263</v>
      </c>
      <c r="H69" s="15" t="s">
        <v>90</v>
      </c>
      <c r="I69" s="1" t="s">
        <v>284</v>
      </c>
    </row>
    <row r="70" spans="1:9" x14ac:dyDescent="0.25">
      <c r="A70" s="15" t="s">
        <v>1</v>
      </c>
      <c r="B70" s="1" t="s">
        <v>202</v>
      </c>
      <c r="C70" s="1" t="s">
        <v>49</v>
      </c>
      <c r="D70" s="15" t="s">
        <v>50</v>
      </c>
      <c r="E70" s="1" t="s">
        <v>264</v>
      </c>
      <c r="H70" s="15" t="s">
        <v>90</v>
      </c>
      <c r="I70" t="s">
        <v>285</v>
      </c>
    </row>
    <row r="71" spans="1:9" x14ac:dyDescent="0.25">
      <c r="A71" s="15" t="s">
        <v>1</v>
      </c>
      <c r="B71" s="1" t="s">
        <v>203</v>
      </c>
      <c r="C71" s="1" t="s">
        <v>49</v>
      </c>
      <c r="D71" s="15" t="s">
        <v>50</v>
      </c>
      <c r="E71" s="1" t="s">
        <v>262</v>
      </c>
      <c r="H71" s="15" t="s">
        <v>90</v>
      </c>
      <c r="I71" s="1" t="s">
        <v>283</v>
      </c>
    </row>
    <row r="72" spans="1:9" x14ac:dyDescent="0.25">
      <c r="A72" s="15" t="s">
        <v>1</v>
      </c>
      <c r="B72" s="1" t="s">
        <v>204</v>
      </c>
      <c r="C72" s="1" t="s">
        <v>49</v>
      </c>
      <c r="D72" s="15" t="s">
        <v>50</v>
      </c>
      <c r="E72" s="1" t="s">
        <v>264</v>
      </c>
      <c r="H72" s="15" t="s">
        <v>90</v>
      </c>
      <c r="I72" t="s">
        <v>285</v>
      </c>
    </row>
    <row r="73" spans="1:9" x14ac:dyDescent="0.25">
      <c r="A73" s="15" t="s">
        <v>1</v>
      </c>
      <c r="B73" s="1" t="s">
        <v>205</v>
      </c>
      <c r="C73" s="1" t="s">
        <v>49</v>
      </c>
      <c r="D73" s="15" t="s">
        <v>50</v>
      </c>
      <c r="E73" s="1" t="s">
        <v>262</v>
      </c>
      <c r="H73" s="15" t="s">
        <v>90</v>
      </c>
      <c r="I73" s="1" t="s">
        <v>283</v>
      </c>
    </row>
    <row r="74" spans="1:9" x14ac:dyDescent="0.25">
      <c r="A74" s="15" t="s">
        <v>1</v>
      </c>
      <c r="B74" s="1" t="s">
        <v>206</v>
      </c>
      <c r="C74" s="1" t="s">
        <v>49</v>
      </c>
      <c r="D74" s="15" t="s">
        <v>50</v>
      </c>
      <c r="E74" s="1" t="s">
        <v>263</v>
      </c>
      <c r="H74" s="15" t="s">
        <v>90</v>
      </c>
      <c r="I74" s="1" t="s">
        <v>284</v>
      </c>
    </row>
    <row r="75" spans="1:9" x14ac:dyDescent="0.25">
      <c r="A75" s="15" t="s">
        <v>1</v>
      </c>
      <c r="B75" s="1" t="s">
        <v>207</v>
      </c>
      <c r="C75" s="1" t="s">
        <v>49</v>
      </c>
      <c r="D75" s="15" t="s">
        <v>50</v>
      </c>
      <c r="E75" s="1" t="s">
        <v>262</v>
      </c>
      <c r="H75" s="15" t="s">
        <v>90</v>
      </c>
      <c r="I75" s="1" t="s">
        <v>283</v>
      </c>
    </row>
    <row r="76" spans="1:9" x14ac:dyDescent="0.25">
      <c r="A76" s="15" t="s">
        <v>1</v>
      </c>
      <c r="B76" s="1" t="s">
        <v>208</v>
      </c>
      <c r="C76" s="1" t="s">
        <v>49</v>
      </c>
      <c r="D76" s="15" t="s">
        <v>50</v>
      </c>
      <c r="E76" s="1" t="s">
        <v>263</v>
      </c>
      <c r="H76" s="15" t="s">
        <v>90</v>
      </c>
      <c r="I76" s="1" t="s">
        <v>284</v>
      </c>
    </row>
    <row r="77" spans="1:9" x14ac:dyDescent="0.25">
      <c r="A77" s="15" t="s">
        <v>1</v>
      </c>
      <c r="B77" s="1" t="s">
        <v>209</v>
      </c>
      <c r="C77" s="1" t="s">
        <v>49</v>
      </c>
      <c r="D77" s="15" t="s">
        <v>50</v>
      </c>
      <c r="E77" s="1" t="s">
        <v>262</v>
      </c>
      <c r="H77" s="15" t="s">
        <v>90</v>
      </c>
      <c r="I77" s="1" t="s">
        <v>283</v>
      </c>
    </row>
    <row r="78" spans="1:9" x14ac:dyDescent="0.25">
      <c r="A78" s="15" t="s">
        <v>1</v>
      </c>
      <c r="B78" s="1" t="s">
        <v>210</v>
      </c>
      <c r="C78" s="1" t="s">
        <v>49</v>
      </c>
      <c r="D78" s="15" t="s">
        <v>50</v>
      </c>
      <c r="E78" s="1" t="s">
        <v>263</v>
      </c>
      <c r="H78" s="15" t="s">
        <v>90</v>
      </c>
      <c r="I78" s="1" t="s">
        <v>284</v>
      </c>
    </row>
    <row r="79" spans="1:9" x14ac:dyDescent="0.25">
      <c r="A79" s="15" t="s">
        <v>1</v>
      </c>
      <c r="B79" s="1" t="s">
        <v>211</v>
      </c>
      <c r="C79" s="1" t="s">
        <v>49</v>
      </c>
      <c r="D79" s="15" t="s">
        <v>50</v>
      </c>
      <c r="E79" s="1" t="s">
        <v>262</v>
      </c>
      <c r="H79" s="15" t="s">
        <v>90</v>
      </c>
      <c r="I79" s="1" t="s">
        <v>283</v>
      </c>
    </row>
    <row r="80" spans="1:9" x14ac:dyDescent="0.25">
      <c r="A80" s="15" t="s">
        <v>1</v>
      </c>
      <c r="B80" s="1" t="s">
        <v>212</v>
      </c>
      <c r="C80" s="1" t="s">
        <v>49</v>
      </c>
      <c r="D80" s="15" t="s">
        <v>50</v>
      </c>
      <c r="E80" s="1" t="s">
        <v>262</v>
      </c>
      <c r="H80" s="15" t="s">
        <v>90</v>
      </c>
      <c r="I80" s="1" t="s">
        <v>283</v>
      </c>
    </row>
    <row r="81" spans="1:9" x14ac:dyDescent="0.25">
      <c r="A81" s="15" t="s">
        <v>1</v>
      </c>
      <c r="B81" s="1" t="s">
        <v>213</v>
      </c>
      <c r="C81" s="1" t="s">
        <v>49</v>
      </c>
      <c r="D81" s="15" t="s">
        <v>50</v>
      </c>
      <c r="E81" s="1" t="s">
        <v>263</v>
      </c>
      <c r="H81" s="15" t="s">
        <v>90</v>
      </c>
      <c r="I81" s="1" t="s">
        <v>284</v>
      </c>
    </row>
    <row r="82" spans="1:9" x14ac:dyDescent="0.25">
      <c r="A82" s="15" t="s">
        <v>1</v>
      </c>
      <c r="B82" s="1" t="s">
        <v>214</v>
      </c>
      <c r="C82" s="1" t="s">
        <v>49</v>
      </c>
      <c r="D82" s="15" t="s">
        <v>50</v>
      </c>
      <c r="E82" s="1" t="s">
        <v>262</v>
      </c>
      <c r="H82" s="15" t="s">
        <v>90</v>
      </c>
      <c r="I82" s="1" t="s">
        <v>283</v>
      </c>
    </row>
    <row r="83" spans="1:9" x14ac:dyDescent="0.25">
      <c r="A83" s="15" t="s">
        <v>1</v>
      </c>
      <c r="B83" s="1" t="s">
        <v>215</v>
      </c>
      <c r="C83" s="1" t="s">
        <v>49</v>
      </c>
      <c r="D83" s="15" t="s">
        <v>50</v>
      </c>
      <c r="E83" s="1" t="s">
        <v>263</v>
      </c>
      <c r="H83" s="15" t="s">
        <v>90</v>
      </c>
      <c r="I83" s="1" t="s">
        <v>284</v>
      </c>
    </row>
    <row r="84" spans="1:9" x14ac:dyDescent="0.25">
      <c r="A84" s="15" t="s">
        <v>1</v>
      </c>
      <c r="B84" s="1" t="s">
        <v>216</v>
      </c>
      <c r="C84" s="1" t="s">
        <v>49</v>
      </c>
      <c r="D84" s="15" t="s">
        <v>50</v>
      </c>
      <c r="E84" s="1" t="s">
        <v>262</v>
      </c>
      <c r="H84" s="15" t="s">
        <v>90</v>
      </c>
      <c r="I84" s="1" t="s">
        <v>283</v>
      </c>
    </row>
    <row r="85" spans="1:9" x14ac:dyDescent="0.25">
      <c r="A85" s="15" t="s">
        <v>1</v>
      </c>
      <c r="B85" s="1" t="s">
        <v>217</v>
      </c>
      <c r="C85" s="1" t="s">
        <v>49</v>
      </c>
      <c r="D85" s="15" t="s">
        <v>50</v>
      </c>
      <c r="E85" s="1" t="s">
        <v>263</v>
      </c>
      <c r="H85" s="15" t="s">
        <v>90</v>
      </c>
      <c r="I85" s="1" t="s">
        <v>284</v>
      </c>
    </row>
    <row r="86" spans="1:9" x14ac:dyDescent="0.25">
      <c r="A86" s="15" t="s">
        <v>1</v>
      </c>
      <c r="B86" s="1" t="s">
        <v>218</v>
      </c>
      <c r="C86" s="1" t="s">
        <v>49</v>
      </c>
      <c r="D86" s="15" t="s">
        <v>50</v>
      </c>
      <c r="E86" s="1" t="s">
        <v>262</v>
      </c>
      <c r="H86" s="15" t="s">
        <v>90</v>
      </c>
      <c r="I86" s="1" t="s">
        <v>283</v>
      </c>
    </row>
    <row r="87" spans="1:9" x14ac:dyDescent="0.25">
      <c r="A87" s="15" t="s">
        <v>1</v>
      </c>
      <c r="B87" s="1" t="s">
        <v>219</v>
      </c>
      <c r="C87" s="1" t="s">
        <v>49</v>
      </c>
      <c r="D87" s="15" t="s">
        <v>50</v>
      </c>
      <c r="E87" s="1" t="s">
        <v>263</v>
      </c>
      <c r="H87" s="15" t="s">
        <v>90</v>
      </c>
      <c r="I87" s="1" t="s">
        <v>284</v>
      </c>
    </row>
    <row r="88" spans="1:9" x14ac:dyDescent="0.25">
      <c r="A88" s="15" t="s">
        <v>1</v>
      </c>
      <c r="B88" s="1" t="s">
        <v>220</v>
      </c>
      <c r="C88" s="1" t="s">
        <v>49</v>
      </c>
      <c r="D88" s="15" t="s">
        <v>50</v>
      </c>
      <c r="E88" s="1" t="s">
        <v>262</v>
      </c>
      <c r="H88" s="15" t="s">
        <v>90</v>
      </c>
      <c r="I88" s="1" t="s">
        <v>283</v>
      </c>
    </row>
    <row r="89" spans="1:9" x14ac:dyDescent="0.25">
      <c r="A89" s="15" t="s">
        <v>1</v>
      </c>
      <c r="B89" s="1" t="s">
        <v>221</v>
      </c>
      <c r="C89" s="1" t="s">
        <v>49</v>
      </c>
      <c r="D89" s="15" t="s">
        <v>50</v>
      </c>
      <c r="E89" s="1" t="s">
        <v>263</v>
      </c>
      <c r="H89" s="15" t="s">
        <v>90</v>
      </c>
      <c r="I89" s="1" t="s">
        <v>284</v>
      </c>
    </row>
    <row r="90" spans="1:9" x14ac:dyDescent="0.25">
      <c r="A90" s="15" t="s">
        <v>1</v>
      </c>
      <c r="B90" s="1" t="s">
        <v>222</v>
      </c>
      <c r="C90" s="1" t="s">
        <v>49</v>
      </c>
      <c r="D90" s="15" t="s">
        <v>50</v>
      </c>
      <c r="E90" s="1" t="s">
        <v>263</v>
      </c>
      <c r="H90" s="15" t="s">
        <v>90</v>
      </c>
      <c r="I90" s="1" t="s">
        <v>284</v>
      </c>
    </row>
    <row r="91" spans="1:9" x14ac:dyDescent="0.25">
      <c r="A91" s="15" t="s">
        <v>1</v>
      </c>
      <c r="B91" s="1" t="s">
        <v>223</v>
      </c>
      <c r="C91" s="1" t="s">
        <v>49</v>
      </c>
      <c r="D91" s="15" t="s">
        <v>50</v>
      </c>
      <c r="E91" s="1" t="s">
        <v>263</v>
      </c>
      <c r="H91" s="15" t="s">
        <v>90</v>
      </c>
      <c r="I91" s="1" t="s">
        <v>284</v>
      </c>
    </row>
    <row r="92" spans="1:9" x14ac:dyDescent="0.25">
      <c r="A92" s="15" t="s">
        <v>1</v>
      </c>
      <c r="B92" s="1" t="s">
        <v>224</v>
      </c>
      <c r="C92" s="1" t="s">
        <v>49</v>
      </c>
      <c r="D92" s="15" t="s">
        <v>50</v>
      </c>
      <c r="E92" s="1" t="s">
        <v>263</v>
      </c>
      <c r="H92" s="15" t="s">
        <v>90</v>
      </c>
      <c r="I92" s="1" t="s">
        <v>284</v>
      </c>
    </row>
    <row r="93" spans="1:9" x14ac:dyDescent="0.25">
      <c r="A93" s="15" t="s">
        <v>1</v>
      </c>
      <c r="B93" s="1" t="s">
        <v>225</v>
      </c>
      <c r="C93" s="1" t="s">
        <v>49</v>
      </c>
      <c r="D93" s="15" t="s">
        <v>50</v>
      </c>
      <c r="E93" s="1" t="s">
        <v>263</v>
      </c>
      <c r="H93" s="15" t="s">
        <v>90</v>
      </c>
      <c r="I93" s="1" t="s">
        <v>284</v>
      </c>
    </row>
    <row r="94" spans="1:9" x14ac:dyDescent="0.25">
      <c r="A94" s="15" t="s">
        <v>1</v>
      </c>
      <c r="B94" s="1" t="s">
        <v>226</v>
      </c>
      <c r="C94" s="1" t="s">
        <v>49</v>
      </c>
      <c r="D94" s="15" t="s">
        <v>50</v>
      </c>
      <c r="E94" s="1" t="s">
        <v>263</v>
      </c>
      <c r="H94" s="15" t="s">
        <v>90</v>
      </c>
      <c r="I94" s="1" t="s">
        <v>284</v>
      </c>
    </row>
    <row r="95" spans="1:9" x14ac:dyDescent="0.25">
      <c r="A95" s="15" t="s">
        <v>1</v>
      </c>
      <c r="B95" s="1" t="s">
        <v>227</v>
      </c>
      <c r="C95" s="1" t="s">
        <v>49</v>
      </c>
      <c r="D95" s="15" t="s">
        <v>50</v>
      </c>
      <c r="E95" s="1" t="s">
        <v>263</v>
      </c>
      <c r="H95" s="15" t="s">
        <v>90</v>
      </c>
      <c r="I95" s="1" t="s">
        <v>284</v>
      </c>
    </row>
    <row r="96" spans="1:9" x14ac:dyDescent="0.25">
      <c r="A96" s="15" t="s">
        <v>1</v>
      </c>
      <c r="B96" s="1" t="s">
        <v>228</v>
      </c>
      <c r="C96" s="1" t="s">
        <v>49</v>
      </c>
      <c r="D96" s="15" t="s">
        <v>50</v>
      </c>
      <c r="E96" s="1" t="s">
        <v>263</v>
      </c>
      <c r="H96" s="15" t="s">
        <v>90</v>
      </c>
      <c r="I96" s="1" t="s">
        <v>284</v>
      </c>
    </row>
    <row r="97" spans="1:9" x14ac:dyDescent="0.25">
      <c r="A97" s="15" t="s">
        <v>1</v>
      </c>
      <c r="B97" s="1" t="s">
        <v>229</v>
      </c>
      <c r="C97" s="1" t="s">
        <v>49</v>
      </c>
      <c r="D97" s="15" t="s">
        <v>50</v>
      </c>
      <c r="E97" s="1" t="s">
        <v>262</v>
      </c>
      <c r="H97" s="15" t="s">
        <v>90</v>
      </c>
      <c r="I97" s="1" t="s">
        <v>283</v>
      </c>
    </row>
    <row r="98" spans="1:9" x14ac:dyDescent="0.25">
      <c r="A98" s="15" t="s">
        <v>1</v>
      </c>
      <c r="B98" s="1" t="s">
        <v>230</v>
      </c>
      <c r="C98" s="1" t="s">
        <v>49</v>
      </c>
      <c r="D98" s="15" t="s">
        <v>50</v>
      </c>
      <c r="E98" s="1" t="s">
        <v>263</v>
      </c>
      <c r="H98" s="15" t="s">
        <v>90</v>
      </c>
      <c r="I98" s="1" t="s">
        <v>284</v>
      </c>
    </row>
    <row r="99" spans="1:9" x14ac:dyDescent="0.25">
      <c r="A99" s="15" t="s">
        <v>1</v>
      </c>
      <c r="B99" s="1" t="s">
        <v>231</v>
      </c>
      <c r="C99" s="1" t="s">
        <v>49</v>
      </c>
      <c r="D99" s="15" t="s">
        <v>50</v>
      </c>
      <c r="E99" s="1" t="s">
        <v>262</v>
      </c>
      <c r="H99" s="15" t="s">
        <v>90</v>
      </c>
      <c r="I99" s="1" t="s">
        <v>283</v>
      </c>
    </row>
    <row r="100" spans="1:9" x14ac:dyDescent="0.25">
      <c r="A100" s="15" t="s">
        <v>1</v>
      </c>
      <c r="B100" s="1" t="s">
        <v>232</v>
      </c>
      <c r="C100" s="1" t="s">
        <v>49</v>
      </c>
      <c r="D100" s="15" t="s">
        <v>50</v>
      </c>
      <c r="E100" s="1" t="s">
        <v>263</v>
      </c>
      <c r="H100" s="15" t="s">
        <v>90</v>
      </c>
      <c r="I100" s="1" t="s">
        <v>284</v>
      </c>
    </row>
    <row r="101" spans="1:9" x14ac:dyDescent="0.25">
      <c r="A101" s="15" t="s">
        <v>1</v>
      </c>
      <c r="B101" s="1" t="s">
        <v>233</v>
      </c>
      <c r="C101" s="1" t="s">
        <v>49</v>
      </c>
      <c r="D101" s="15" t="s">
        <v>50</v>
      </c>
      <c r="E101" s="1" t="s">
        <v>262</v>
      </c>
      <c r="H101" s="15" t="s">
        <v>90</v>
      </c>
      <c r="I101" s="1" t="s">
        <v>283</v>
      </c>
    </row>
    <row r="102" spans="1:9" x14ac:dyDescent="0.25">
      <c r="A102" s="15" t="s">
        <v>1</v>
      </c>
      <c r="B102" s="1" t="s">
        <v>234</v>
      </c>
      <c r="C102" s="1" t="s">
        <v>49</v>
      </c>
      <c r="D102" s="15" t="s">
        <v>50</v>
      </c>
      <c r="E102" s="1" t="s">
        <v>263</v>
      </c>
      <c r="H102" s="15" t="s">
        <v>90</v>
      </c>
      <c r="I102" s="1" t="s">
        <v>284</v>
      </c>
    </row>
    <row r="103" spans="1:9" x14ac:dyDescent="0.25">
      <c r="A103" s="15" t="s">
        <v>1</v>
      </c>
      <c r="B103" s="1" t="s">
        <v>235</v>
      </c>
      <c r="C103" s="1" t="s">
        <v>49</v>
      </c>
      <c r="D103" s="15" t="s">
        <v>50</v>
      </c>
      <c r="E103" s="1" t="s">
        <v>262</v>
      </c>
      <c r="H103" s="15" t="s">
        <v>90</v>
      </c>
      <c r="I103" s="1" t="s">
        <v>283</v>
      </c>
    </row>
    <row r="104" spans="1:9" x14ac:dyDescent="0.25">
      <c r="A104" s="15" t="s">
        <v>1</v>
      </c>
      <c r="B104" s="1" t="s">
        <v>236</v>
      </c>
      <c r="C104" s="1" t="s">
        <v>49</v>
      </c>
      <c r="D104" s="15" t="s">
        <v>50</v>
      </c>
      <c r="E104" s="1" t="s">
        <v>263</v>
      </c>
      <c r="H104" s="15" t="s">
        <v>90</v>
      </c>
      <c r="I104" s="1" t="s">
        <v>284</v>
      </c>
    </row>
    <row r="105" spans="1:9" x14ac:dyDescent="0.25">
      <c r="A105" s="15" t="s">
        <v>1</v>
      </c>
      <c r="B105" s="1" t="s">
        <v>237</v>
      </c>
      <c r="C105" s="1" t="s">
        <v>49</v>
      </c>
      <c r="D105" s="15" t="s">
        <v>50</v>
      </c>
      <c r="E105" s="1" t="s">
        <v>263</v>
      </c>
      <c r="H105" s="15" t="s">
        <v>90</v>
      </c>
      <c r="I105" s="1" t="s">
        <v>284</v>
      </c>
    </row>
    <row r="106" spans="1:9" x14ac:dyDescent="0.25">
      <c r="A106" s="15" t="s">
        <v>1</v>
      </c>
      <c r="B106" s="1" t="s">
        <v>238</v>
      </c>
      <c r="C106" s="1" t="s">
        <v>49</v>
      </c>
      <c r="D106" s="15" t="s">
        <v>50</v>
      </c>
      <c r="E106" s="1" t="s">
        <v>263</v>
      </c>
      <c r="H106" s="15" t="s">
        <v>90</v>
      </c>
      <c r="I106" s="1" t="s">
        <v>284</v>
      </c>
    </row>
    <row r="107" spans="1:9" x14ac:dyDescent="0.25">
      <c r="A107" s="15" t="s">
        <v>1</v>
      </c>
      <c r="B107" s="1" t="s">
        <v>239</v>
      </c>
      <c r="C107" s="1" t="s">
        <v>49</v>
      </c>
      <c r="D107" s="15" t="s">
        <v>50</v>
      </c>
      <c r="E107" s="1" t="s">
        <v>262</v>
      </c>
      <c r="H107" s="15" t="s">
        <v>90</v>
      </c>
      <c r="I107" s="1" t="s">
        <v>283</v>
      </c>
    </row>
    <row r="108" spans="1:9" x14ac:dyDescent="0.25">
      <c r="A108" s="15" t="s">
        <v>1</v>
      </c>
      <c r="B108" s="1" t="s">
        <v>240</v>
      </c>
      <c r="C108" s="1" t="s">
        <v>49</v>
      </c>
      <c r="D108" s="15" t="s">
        <v>50</v>
      </c>
      <c r="E108" s="1" t="s">
        <v>263</v>
      </c>
      <c r="H108" s="15" t="s">
        <v>90</v>
      </c>
      <c r="I108" s="1" t="s">
        <v>284</v>
      </c>
    </row>
    <row r="109" spans="1:9" x14ac:dyDescent="0.25">
      <c r="A109" s="15" t="s">
        <v>1</v>
      </c>
      <c r="B109" s="1" t="s">
        <v>241</v>
      </c>
      <c r="C109" s="1" t="s">
        <v>49</v>
      </c>
      <c r="D109" s="15" t="s">
        <v>50</v>
      </c>
      <c r="E109" s="1" t="s">
        <v>263</v>
      </c>
      <c r="H109" s="15" t="s">
        <v>90</v>
      </c>
      <c r="I109" s="1" t="s">
        <v>284</v>
      </c>
    </row>
    <row r="110" spans="1:9" x14ac:dyDescent="0.25">
      <c r="A110" s="15" t="s">
        <v>1</v>
      </c>
      <c r="B110" s="1" t="s">
        <v>242</v>
      </c>
      <c r="C110" s="1" t="s">
        <v>49</v>
      </c>
      <c r="D110" s="15" t="s">
        <v>50</v>
      </c>
      <c r="E110" s="1" t="s">
        <v>263</v>
      </c>
      <c r="H110" s="15" t="s">
        <v>90</v>
      </c>
      <c r="I110" s="1" t="s">
        <v>284</v>
      </c>
    </row>
    <row r="111" spans="1:9" x14ac:dyDescent="0.25">
      <c r="A111" s="15" t="s">
        <v>1</v>
      </c>
      <c r="B111" s="1" t="s">
        <v>243</v>
      </c>
      <c r="C111" s="1" t="s">
        <v>49</v>
      </c>
      <c r="D111" s="15" t="s">
        <v>50</v>
      </c>
      <c r="E111" s="1" t="s">
        <v>262</v>
      </c>
      <c r="H111" s="15" t="s">
        <v>90</v>
      </c>
      <c r="I111" s="1" t="s">
        <v>283</v>
      </c>
    </row>
    <row r="112" spans="1:9" x14ac:dyDescent="0.25">
      <c r="A112" s="15" t="s">
        <v>1</v>
      </c>
      <c r="B112" s="1" t="s">
        <v>244</v>
      </c>
      <c r="C112" s="1" t="s">
        <v>49</v>
      </c>
      <c r="D112" s="15" t="s">
        <v>50</v>
      </c>
      <c r="E112" s="1" t="s">
        <v>263</v>
      </c>
      <c r="H112" s="15" t="s">
        <v>90</v>
      </c>
      <c r="I112" s="1" t="s">
        <v>284</v>
      </c>
    </row>
    <row r="113" spans="1:9" x14ac:dyDescent="0.25">
      <c r="A113" s="15" t="s">
        <v>1</v>
      </c>
      <c r="B113" s="1" t="s">
        <v>245</v>
      </c>
      <c r="C113" s="1" t="s">
        <v>49</v>
      </c>
      <c r="D113" s="15" t="s">
        <v>50</v>
      </c>
      <c r="E113" s="1" t="s">
        <v>263</v>
      </c>
      <c r="H113" s="15" t="s">
        <v>90</v>
      </c>
      <c r="I113" s="1" t="s">
        <v>284</v>
      </c>
    </row>
    <row r="114" spans="1:9" x14ac:dyDescent="0.25">
      <c r="A114" s="15" t="s">
        <v>1</v>
      </c>
      <c r="B114" s="1" t="s">
        <v>246</v>
      </c>
      <c r="C114" s="1" t="s">
        <v>49</v>
      </c>
      <c r="D114" s="15" t="s">
        <v>50</v>
      </c>
      <c r="E114" s="1" t="s">
        <v>263</v>
      </c>
      <c r="H114" s="15" t="s">
        <v>90</v>
      </c>
      <c r="I114" s="1" t="s">
        <v>284</v>
      </c>
    </row>
    <row r="115" spans="1:9" x14ac:dyDescent="0.25">
      <c r="A115" s="15" t="s">
        <v>1</v>
      </c>
      <c r="B115" s="1" t="s">
        <v>247</v>
      </c>
      <c r="C115" s="1" t="s">
        <v>49</v>
      </c>
      <c r="D115" s="15" t="s">
        <v>50</v>
      </c>
      <c r="E115" s="1" t="s">
        <v>262</v>
      </c>
      <c r="H115" s="15" t="s">
        <v>90</v>
      </c>
      <c r="I115" s="1" t="s">
        <v>283</v>
      </c>
    </row>
    <row r="116" spans="1:9" x14ac:dyDescent="0.25">
      <c r="A116" s="15" t="s">
        <v>1</v>
      </c>
      <c r="B116" s="1" t="s">
        <v>248</v>
      </c>
      <c r="C116" s="1" t="s">
        <v>49</v>
      </c>
      <c r="D116" s="15" t="s">
        <v>50</v>
      </c>
      <c r="E116" s="1" t="s">
        <v>263</v>
      </c>
      <c r="H116" s="15" t="s">
        <v>90</v>
      </c>
      <c r="I116" s="1" t="s">
        <v>284</v>
      </c>
    </row>
    <row r="117" spans="1:9" x14ac:dyDescent="0.25">
      <c r="A117" s="15" t="s">
        <v>1</v>
      </c>
      <c r="B117" s="1" t="s">
        <v>249</v>
      </c>
      <c r="C117" s="1" t="s">
        <v>49</v>
      </c>
      <c r="D117" s="15" t="s">
        <v>50</v>
      </c>
      <c r="E117" s="1" t="s">
        <v>262</v>
      </c>
      <c r="H117" s="15" t="s">
        <v>90</v>
      </c>
      <c r="I117" s="1" t="s">
        <v>283</v>
      </c>
    </row>
    <row r="118" spans="1:9" x14ac:dyDescent="0.25">
      <c r="A118" s="15" t="s">
        <v>1</v>
      </c>
      <c r="B118" s="1" t="s">
        <v>250</v>
      </c>
      <c r="C118" s="1" t="s">
        <v>49</v>
      </c>
      <c r="D118" s="15" t="s">
        <v>50</v>
      </c>
      <c r="E118" s="1" t="s">
        <v>263</v>
      </c>
      <c r="H118" s="15" t="s">
        <v>90</v>
      </c>
      <c r="I118" s="1" t="s">
        <v>284</v>
      </c>
    </row>
    <row r="119" spans="1:9" x14ac:dyDescent="0.25">
      <c r="A119" s="15" t="s">
        <v>1</v>
      </c>
      <c r="B119" s="1" t="s">
        <v>251</v>
      </c>
      <c r="C119" s="1" t="s">
        <v>49</v>
      </c>
      <c r="D119" s="15" t="s">
        <v>50</v>
      </c>
      <c r="E119" s="1" t="s">
        <v>263</v>
      </c>
      <c r="H119" s="15" t="s">
        <v>90</v>
      </c>
      <c r="I119" s="1" t="s">
        <v>284</v>
      </c>
    </row>
    <row r="120" spans="1:9" x14ac:dyDescent="0.25">
      <c r="A120" s="15" t="s">
        <v>1</v>
      </c>
      <c r="B120" s="1" t="s">
        <v>252</v>
      </c>
      <c r="C120" s="1" t="s">
        <v>49</v>
      </c>
      <c r="D120" s="15" t="s">
        <v>50</v>
      </c>
      <c r="E120" s="1" t="s">
        <v>262</v>
      </c>
      <c r="H120" s="15" t="s">
        <v>90</v>
      </c>
      <c r="I120" s="1" t="s">
        <v>283</v>
      </c>
    </row>
    <row r="121" spans="1:9" x14ac:dyDescent="0.25">
      <c r="A121" s="15" t="s">
        <v>1</v>
      </c>
      <c r="B121" s="1" t="s">
        <v>253</v>
      </c>
      <c r="C121" s="1" t="s">
        <v>49</v>
      </c>
      <c r="D121" s="15" t="s">
        <v>50</v>
      </c>
      <c r="E121" s="1" t="s">
        <v>263</v>
      </c>
      <c r="H121" s="15" t="s">
        <v>90</v>
      </c>
      <c r="I121" s="1" t="s">
        <v>284</v>
      </c>
    </row>
    <row r="122" spans="1:9" x14ac:dyDescent="0.25">
      <c r="A122" s="15" t="s">
        <v>1</v>
      </c>
      <c r="B122" s="1" t="s">
        <v>254</v>
      </c>
      <c r="C122" s="1" t="s">
        <v>49</v>
      </c>
      <c r="D122" s="15" t="s">
        <v>50</v>
      </c>
      <c r="E122" s="1" t="s">
        <v>262</v>
      </c>
      <c r="H122" s="15" t="s">
        <v>90</v>
      </c>
      <c r="I122" s="1" t="s">
        <v>283</v>
      </c>
    </row>
    <row r="123" spans="1:9" x14ac:dyDescent="0.25">
      <c r="A123" s="15" t="s">
        <v>1</v>
      </c>
      <c r="B123" s="1" t="s">
        <v>255</v>
      </c>
      <c r="C123" s="1" t="s">
        <v>49</v>
      </c>
      <c r="D123" s="15" t="s">
        <v>50</v>
      </c>
      <c r="E123" s="1" t="s">
        <v>263</v>
      </c>
      <c r="H123" s="15" t="s">
        <v>90</v>
      </c>
      <c r="I123" s="1" t="s">
        <v>284</v>
      </c>
    </row>
    <row r="124" spans="1:9" x14ac:dyDescent="0.25">
      <c r="A124" s="15" t="s">
        <v>1</v>
      </c>
      <c r="B124" s="1" t="s">
        <v>256</v>
      </c>
      <c r="C124" s="1" t="s">
        <v>49</v>
      </c>
      <c r="D124" s="15" t="s">
        <v>50</v>
      </c>
      <c r="E124" s="1" t="s">
        <v>262</v>
      </c>
      <c r="H124" s="15" t="s">
        <v>90</v>
      </c>
      <c r="I124" s="1" t="s">
        <v>283</v>
      </c>
    </row>
    <row r="125" spans="1:9" x14ac:dyDescent="0.25">
      <c r="A125" s="15" t="s">
        <v>1</v>
      </c>
      <c r="B125" s="1" t="s">
        <v>257</v>
      </c>
      <c r="C125" s="1" t="s">
        <v>49</v>
      </c>
      <c r="D125" s="15" t="s">
        <v>50</v>
      </c>
      <c r="E125" s="1" t="s">
        <v>263</v>
      </c>
      <c r="H125" s="15" t="s">
        <v>90</v>
      </c>
      <c r="I125" s="1" t="s">
        <v>284</v>
      </c>
    </row>
    <row r="126" spans="1:9" x14ac:dyDescent="0.25">
      <c r="A126" s="15" t="s">
        <v>1</v>
      </c>
      <c r="B126" s="1" t="s">
        <v>258</v>
      </c>
      <c r="C126" s="1" t="s">
        <v>49</v>
      </c>
      <c r="D126" s="15" t="s">
        <v>50</v>
      </c>
      <c r="E126" s="1" t="s">
        <v>263</v>
      </c>
      <c r="H126" s="15" t="s">
        <v>90</v>
      </c>
      <c r="I126" s="1" t="s">
        <v>284</v>
      </c>
    </row>
    <row r="127" spans="1:9" x14ac:dyDescent="0.25">
      <c r="A127" s="15" t="s">
        <v>1</v>
      </c>
      <c r="B127" s="1" t="s">
        <v>259</v>
      </c>
      <c r="C127" s="1" t="s">
        <v>49</v>
      </c>
      <c r="D127" s="15" t="s">
        <v>50</v>
      </c>
      <c r="E127" s="1" t="s">
        <v>263</v>
      </c>
      <c r="H127" s="15" t="s">
        <v>90</v>
      </c>
      <c r="I127" s="1" t="s">
        <v>284</v>
      </c>
    </row>
    <row r="128" spans="1:9" x14ac:dyDescent="0.25">
      <c r="A128" s="15" t="s">
        <v>1</v>
      </c>
      <c r="B128" s="1" t="s">
        <v>260</v>
      </c>
      <c r="C128" s="1" t="s">
        <v>49</v>
      </c>
      <c r="D128" s="15" t="s">
        <v>50</v>
      </c>
      <c r="E128" s="1" t="s">
        <v>265</v>
      </c>
      <c r="H128" s="15" t="s">
        <v>90</v>
      </c>
      <c r="I128" t="s">
        <v>283</v>
      </c>
    </row>
    <row r="129" spans="1:9" x14ac:dyDescent="0.25">
      <c r="A129" s="15" t="s">
        <v>1</v>
      </c>
      <c r="B129" s="1" t="s">
        <v>267</v>
      </c>
      <c r="C129" s="1" t="s">
        <v>49</v>
      </c>
      <c r="D129" s="15" t="s">
        <v>50</v>
      </c>
      <c r="E129" s="1" t="s">
        <v>261</v>
      </c>
      <c r="H129" s="15" t="s">
        <v>90</v>
      </c>
      <c r="I129" t="s">
        <v>282</v>
      </c>
    </row>
    <row r="130" spans="1:9" x14ac:dyDescent="0.25">
      <c r="A130" s="15" t="s">
        <v>1</v>
      </c>
      <c r="B130" s="1" t="s">
        <v>266</v>
      </c>
      <c r="C130" s="1" t="s">
        <v>49</v>
      </c>
      <c r="D130" s="15" t="s">
        <v>50</v>
      </c>
      <c r="E130" s="1" t="s">
        <v>279</v>
      </c>
      <c r="H130" s="15" t="s">
        <v>90</v>
      </c>
      <c r="I130" t="s">
        <v>286</v>
      </c>
    </row>
    <row r="131" spans="1:9" x14ac:dyDescent="0.25">
      <c r="A131" s="15" t="s">
        <v>1</v>
      </c>
      <c r="B131" s="1" t="s">
        <v>268</v>
      </c>
      <c r="C131" s="1" t="s">
        <v>49</v>
      </c>
      <c r="D131" s="15" t="s">
        <v>50</v>
      </c>
      <c r="E131" s="1" t="s">
        <v>261</v>
      </c>
      <c r="H131" s="15" t="s">
        <v>90</v>
      </c>
      <c r="I131" t="s">
        <v>282</v>
      </c>
    </row>
    <row r="132" spans="1:9" x14ac:dyDescent="0.25">
      <c r="A132" s="15" t="s">
        <v>1</v>
      </c>
      <c r="B132" s="1" t="s">
        <v>269</v>
      </c>
      <c r="C132" s="1" t="s">
        <v>49</v>
      </c>
      <c r="D132" s="15" t="s">
        <v>50</v>
      </c>
      <c r="E132" s="1" t="s">
        <v>264</v>
      </c>
      <c r="H132" s="15" t="s">
        <v>90</v>
      </c>
      <c r="I132" t="s">
        <v>285</v>
      </c>
    </row>
    <row r="133" spans="1:9" x14ac:dyDescent="0.25">
      <c r="A133" s="15" t="s">
        <v>1</v>
      </c>
      <c r="B133" s="1" t="s">
        <v>270</v>
      </c>
      <c r="C133" s="1" t="s">
        <v>49</v>
      </c>
      <c r="D133" s="15" t="s">
        <v>50</v>
      </c>
      <c r="E133" s="1" t="s">
        <v>261</v>
      </c>
      <c r="H133" s="15" t="s">
        <v>90</v>
      </c>
      <c r="I133" t="s">
        <v>282</v>
      </c>
    </row>
    <row r="134" spans="1:9" x14ac:dyDescent="0.25">
      <c r="A134" s="15" t="s">
        <v>1</v>
      </c>
      <c r="B134" s="1" t="s">
        <v>271</v>
      </c>
      <c r="C134" s="1" t="s">
        <v>49</v>
      </c>
      <c r="D134" s="15" t="s">
        <v>50</v>
      </c>
      <c r="E134" s="1" t="s">
        <v>263</v>
      </c>
      <c r="H134" s="15" t="s">
        <v>90</v>
      </c>
      <c r="I134" s="1" t="s">
        <v>284</v>
      </c>
    </row>
    <row r="135" spans="1:9" x14ac:dyDescent="0.25">
      <c r="A135" s="15" t="s">
        <v>1</v>
      </c>
      <c r="B135" s="1" t="s">
        <v>272</v>
      </c>
      <c r="C135" s="1" t="s">
        <v>49</v>
      </c>
      <c r="D135" s="15" t="s">
        <v>50</v>
      </c>
      <c r="E135" s="1" t="s">
        <v>263</v>
      </c>
      <c r="H135" s="15" t="s">
        <v>90</v>
      </c>
      <c r="I135" s="1" t="s">
        <v>284</v>
      </c>
    </row>
    <row r="136" spans="1:9" x14ac:dyDescent="0.25">
      <c r="A136" s="15" t="s">
        <v>1</v>
      </c>
      <c r="B136" s="1" t="s">
        <v>273</v>
      </c>
      <c r="C136" s="1" t="s">
        <v>49</v>
      </c>
      <c r="D136" s="15" t="s">
        <v>50</v>
      </c>
      <c r="E136" s="1" t="s">
        <v>263</v>
      </c>
      <c r="H136" s="15" t="s">
        <v>90</v>
      </c>
      <c r="I136" s="1" t="s">
        <v>284</v>
      </c>
    </row>
    <row r="137" spans="1:9" x14ac:dyDescent="0.25">
      <c r="A137" s="15" t="s">
        <v>1</v>
      </c>
      <c r="B137" s="1" t="s">
        <v>274</v>
      </c>
      <c r="C137" s="1" t="s">
        <v>49</v>
      </c>
      <c r="D137" s="15" t="s">
        <v>50</v>
      </c>
      <c r="E137" s="1" t="s">
        <v>263</v>
      </c>
      <c r="H137" s="15" t="s">
        <v>90</v>
      </c>
      <c r="I137" s="1" t="s">
        <v>284</v>
      </c>
    </row>
    <row r="138" spans="1:9" x14ac:dyDescent="0.25">
      <c r="A138" s="15" t="s">
        <v>1</v>
      </c>
      <c r="B138" s="1" t="s">
        <v>275</v>
      </c>
      <c r="C138" s="1" t="s">
        <v>49</v>
      </c>
      <c r="D138" s="15" t="s">
        <v>50</v>
      </c>
      <c r="E138" s="1" t="s">
        <v>263</v>
      </c>
      <c r="H138" s="15" t="s">
        <v>90</v>
      </c>
      <c r="I138" s="1" t="s">
        <v>284</v>
      </c>
    </row>
    <row r="139" spans="1:9" x14ac:dyDescent="0.25">
      <c r="A139" s="15" t="s">
        <v>1</v>
      </c>
      <c r="B139" s="1" t="s">
        <v>276</v>
      </c>
      <c r="C139" s="1" t="s">
        <v>49</v>
      </c>
      <c r="D139" s="15" t="s">
        <v>50</v>
      </c>
      <c r="E139" s="1" t="s">
        <v>263</v>
      </c>
      <c r="H139" s="15" t="s">
        <v>90</v>
      </c>
      <c r="I139" s="1" t="s">
        <v>284</v>
      </c>
    </row>
    <row r="140" spans="1:9" x14ac:dyDescent="0.25">
      <c r="A140" s="15" t="s">
        <v>1</v>
      </c>
      <c r="B140" s="1" t="s">
        <v>277</v>
      </c>
      <c r="C140" s="1" t="s">
        <v>49</v>
      </c>
      <c r="D140" s="15" t="s">
        <v>50</v>
      </c>
      <c r="E140" s="1" t="s">
        <v>264</v>
      </c>
      <c r="H140" s="15" t="s">
        <v>90</v>
      </c>
      <c r="I140" s="1" t="s">
        <v>284</v>
      </c>
    </row>
    <row r="141" spans="1:9" x14ac:dyDescent="0.25">
      <c r="A141" s="15" t="s">
        <v>1</v>
      </c>
      <c r="B141" s="1" t="s">
        <v>278</v>
      </c>
      <c r="C141" s="1" t="s">
        <v>49</v>
      </c>
      <c r="D141" s="15" t="s">
        <v>50</v>
      </c>
      <c r="E141" s="1" t="s">
        <v>264</v>
      </c>
      <c r="H141" s="15" t="s">
        <v>90</v>
      </c>
      <c r="I141" s="1" t="s">
        <v>284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7426-52B9-40AF-9648-E1FC854392CB}">
  <dimension ref="A1:AC187"/>
  <sheetViews>
    <sheetView topLeftCell="A169" workbookViewId="0">
      <selection sqref="A1:XFD1"/>
    </sheetView>
  </sheetViews>
  <sheetFormatPr defaultRowHeight="15" x14ac:dyDescent="0.25"/>
  <cols>
    <col min="1" max="1" width="14.42578125" style="18" customWidth="1"/>
    <col min="2" max="2" width="17.28515625" customWidth="1"/>
    <col min="3" max="3" width="14.85546875" style="18" customWidth="1"/>
    <col min="4" max="4" width="17.28515625" style="18" customWidth="1"/>
    <col min="5" max="5" width="40" bestFit="1" customWidth="1"/>
    <col min="6" max="6" width="14.28515625" customWidth="1"/>
    <col min="7" max="7" width="17.28515625" customWidth="1"/>
    <col min="8" max="8" width="24.140625" style="18" customWidth="1"/>
    <col min="9" max="9" width="20.85546875" style="18" customWidth="1"/>
    <col min="10" max="10" width="16" customWidth="1"/>
    <col min="11" max="11" width="19.7109375" customWidth="1"/>
    <col min="12" max="12" width="15.7109375" customWidth="1"/>
    <col min="13" max="14" width="15.5703125" customWidth="1"/>
    <col min="15" max="15" width="17.140625" customWidth="1"/>
    <col min="16" max="16" width="20.7109375" customWidth="1"/>
    <col min="17" max="17" width="16.85546875" customWidth="1"/>
    <col min="18" max="18" width="16.5703125" customWidth="1"/>
    <col min="19" max="19" width="17" customWidth="1"/>
    <col min="20" max="20" width="14" customWidth="1"/>
    <col min="21" max="21" width="15.28515625" customWidth="1"/>
    <col min="22" max="22" width="14.42578125" customWidth="1"/>
    <col min="23" max="23" width="14.7109375" customWidth="1"/>
    <col min="24" max="24" width="15.42578125" customWidth="1"/>
    <col min="25" max="25" width="15.28515625" customWidth="1"/>
    <col min="26" max="26" width="15.7109375" customWidth="1"/>
    <col min="27" max="27" width="18" customWidth="1"/>
    <col min="28" max="28" width="13.28515625" customWidth="1"/>
    <col min="29" max="29" width="12.28515625" customWidth="1"/>
  </cols>
  <sheetData>
    <row r="1" spans="1:29" s="1" customFormat="1" ht="63.75" x14ac:dyDescent="0.25">
      <c r="A1" s="2" t="s">
        <v>2</v>
      </c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3" t="s">
        <v>9</v>
      </c>
      <c r="I1" s="14" t="s">
        <v>10</v>
      </c>
      <c r="J1" s="3" t="s">
        <v>11</v>
      </c>
      <c r="K1" s="3" t="s">
        <v>12</v>
      </c>
      <c r="L1" s="3" t="s">
        <v>13</v>
      </c>
      <c r="M1" s="3" t="s">
        <v>14</v>
      </c>
      <c r="N1" s="3" t="s">
        <v>15</v>
      </c>
      <c r="O1" s="3" t="s">
        <v>16</v>
      </c>
      <c r="P1" s="3" t="s">
        <v>17</v>
      </c>
      <c r="Q1" s="3" t="s">
        <v>18</v>
      </c>
      <c r="R1" s="3" t="s">
        <v>19</v>
      </c>
      <c r="S1" s="2" t="s">
        <v>20</v>
      </c>
      <c r="T1" s="2" t="s">
        <v>21</v>
      </c>
      <c r="U1" s="2" t="s">
        <v>22</v>
      </c>
      <c r="V1" s="2" t="s">
        <v>23</v>
      </c>
      <c r="W1" s="2" t="s">
        <v>24</v>
      </c>
      <c r="X1" s="2" t="s">
        <v>25</v>
      </c>
      <c r="Y1" s="2" t="s">
        <v>26</v>
      </c>
      <c r="Z1" s="4" t="s">
        <v>27</v>
      </c>
      <c r="AA1" s="4" t="s">
        <v>28</v>
      </c>
      <c r="AB1" s="4" t="s">
        <v>29</v>
      </c>
      <c r="AC1" s="4" t="s">
        <v>30</v>
      </c>
    </row>
    <row r="2" spans="1:29" x14ac:dyDescent="0.25">
      <c r="A2" s="18" t="s">
        <v>1</v>
      </c>
      <c r="B2" t="s">
        <v>287</v>
      </c>
      <c r="C2" s="18" t="s">
        <v>49</v>
      </c>
      <c r="D2" s="18" t="s">
        <v>50</v>
      </c>
      <c r="E2" s="1" t="s">
        <v>261</v>
      </c>
      <c r="H2" s="18" t="s">
        <v>90</v>
      </c>
      <c r="I2" s="18" t="s">
        <v>282</v>
      </c>
    </row>
    <row r="3" spans="1:29" x14ac:dyDescent="0.25">
      <c r="A3" s="18" t="s">
        <v>1</v>
      </c>
      <c r="B3" t="s">
        <v>288</v>
      </c>
      <c r="C3" s="18" t="s">
        <v>49</v>
      </c>
      <c r="D3" s="18" t="s">
        <v>50</v>
      </c>
      <c r="E3" s="1" t="s">
        <v>261</v>
      </c>
      <c r="H3" s="18" t="s">
        <v>90</v>
      </c>
    </row>
    <row r="4" spans="1:29" x14ac:dyDescent="0.25">
      <c r="A4" s="18" t="s">
        <v>1</v>
      </c>
      <c r="B4" t="s">
        <v>289</v>
      </c>
      <c r="C4" s="18" t="s">
        <v>49</v>
      </c>
      <c r="D4" s="18" t="s">
        <v>50</v>
      </c>
      <c r="E4" s="1" t="s">
        <v>262</v>
      </c>
      <c r="H4" s="18" t="s">
        <v>90</v>
      </c>
    </row>
    <row r="5" spans="1:29" x14ac:dyDescent="0.25">
      <c r="A5" s="18" t="s">
        <v>1</v>
      </c>
      <c r="B5" t="s">
        <v>290</v>
      </c>
      <c r="C5" s="18" t="s">
        <v>49</v>
      </c>
      <c r="D5" s="18" t="s">
        <v>50</v>
      </c>
      <c r="E5" s="1" t="s">
        <v>263</v>
      </c>
      <c r="H5" s="18" t="s">
        <v>90</v>
      </c>
    </row>
    <row r="6" spans="1:29" x14ac:dyDescent="0.25">
      <c r="A6" s="18" t="s">
        <v>1</v>
      </c>
      <c r="B6" t="s">
        <v>291</v>
      </c>
      <c r="C6" s="18" t="s">
        <v>49</v>
      </c>
      <c r="D6" s="18" t="s">
        <v>50</v>
      </c>
      <c r="E6" s="1" t="s">
        <v>263</v>
      </c>
      <c r="H6" s="18" t="s">
        <v>90</v>
      </c>
    </row>
    <row r="7" spans="1:29" x14ac:dyDescent="0.25">
      <c r="A7" s="18" t="s">
        <v>1</v>
      </c>
      <c r="B7" t="s">
        <v>292</v>
      </c>
      <c r="C7" s="18" t="s">
        <v>49</v>
      </c>
      <c r="D7" s="18" t="s">
        <v>50</v>
      </c>
      <c r="E7" s="1" t="s">
        <v>263</v>
      </c>
      <c r="H7" s="18" t="s">
        <v>90</v>
      </c>
    </row>
    <row r="8" spans="1:29" x14ac:dyDescent="0.25">
      <c r="A8" s="18" t="s">
        <v>1</v>
      </c>
      <c r="B8" t="s">
        <v>293</v>
      </c>
      <c r="C8" s="18" t="s">
        <v>49</v>
      </c>
      <c r="D8" s="18" t="s">
        <v>50</v>
      </c>
      <c r="E8" s="1" t="s">
        <v>262</v>
      </c>
      <c r="H8" s="18" t="s">
        <v>90</v>
      </c>
    </row>
    <row r="9" spans="1:29" x14ac:dyDescent="0.25">
      <c r="A9" s="18" t="s">
        <v>1</v>
      </c>
      <c r="B9" t="s">
        <v>294</v>
      </c>
      <c r="C9" s="18" t="s">
        <v>49</v>
      </c>
      <c r="D9" s="18" t="s">
        <v>50</v>
      </c>
      <c r="E9" s="1" t="s">
        <v>262</v>
      </c>
      <c r="H9" s="18" t="s">
        <v>90</v>
      </c>
    </row>
    <row r="10" spans="1:29" x14ac:dyDescent="0.25">
      <c r="A10" s="18" t="s">
        <v>1</v>
      </c>
      <c r="B10" t="s">
        <v>295</v>
      </c>
      <c r="C10" s="18" t="s">
        <v>49</v>
      </c>
      <c r="D10" s="18" t="s">
        <v>50</v>
      </c>
      <c r="E10" s="1" t="s">
        <v>263</v>
      </c>
      <c r="H10" s="18" t="s">
        <v>90</v>
      </c>
    </row>
    <row r="11" spans="1:29" x14ac:dyDescent="0.25">
      <c r="A11" s="18" t="s">
        <v>1</v>
      </c>
      <c r="B11" t="s">
        <v>296</v>
      </c>
      <c r="C11" s="18" t="s">
        <v>49</v>
      </c>
      <c r="D11" s="18" t="s">
        <v>50</v>
      </c>
      <c r="E11" s="1" t="s">
        <v>262</v>
      </c>
      <c r="H11" s="18" t="s">
        <v>90</v>
      </c>
    </row>
    <row r="12" spans="1:29" x14ac:dyDescent="0.25">
      <c r="A12" s="18" t="s">
        <v>1</v>
      </c>
      <c r="B12" t="s">
        <v>297</v>
      </c>
      <c r="C12" s="18" t="s">
        <v>49</v>
      </c>
      <c r="D12" s="18" t="s">
        <v>50</v>
      </c>
      <c r="E12" s="1" t="s">
        <v>263</v>
      </c>
      <c r="H12" s="18" t="s">
        <v>90</v>
      </c>
    </row>
    <row r="13" spans="1:29" x14ac:dyDescent="0.25">
      <c r="A13" s="18" t="s">
        <v>1</v>
      </c>
      <c r="B13" t="s">
        <v>298</v>
      </c>
      <c r="C13" s="18" t="s">
        <v>49</v>
      </c>
      <c r="D13" s="18" t="s">
        <v>50</v>
      </c>
      <c r="E13" s="1" t="s">
        <v>262</v>
      </c>
      <c r="H13" s="18" t="s">
        <v>90</v>
      </c>
    </row>
    <row r="14" spans="1:29" x14ac:dyDescent="0.25">
      <c r="A14" s="18" t="s">
        <v>1</v>
      </c>
      <c r="B14" t="s">
        <v>299</v>
      </c>
      <c r="C14" s="18" t="s">
        <v>49</v>
      </c>
      <c r="D14" s="18" t="s">
        <v>50</v>
      </c>
      <c r="E14" s="1" t="s">
        <v>263</v>
      </c>
      <c r="H14" s="18" t="s">
        <v>90</v>
      </c>
    </row>
    <row r="15" spans="1:29" x14ac:dyDescent="0.25">
      <c r="A15" s="18" t="s">
        <v>1</v>
      </c>
      <c r="B15" t="s">
        <v>300</v>
      </c>
      <c r="C15" s="18" t="s">
        <v>49</v>
      </c>
      <c r="D15" s="18" t="s">
        <v>50</v>
      </c>
      <c r="E15" s="1" t="s">
        <v>263</v>
      </c>
      <c r="H15" s="18" t="s">
        <v>90</v>
      </c>
    </row>
    <row r="16" spans="1:29" x14ac:dyDescent="0.25">
      <c r="A16" s="18" t="s">
        <v>1</v>
      </c>
      <c r="B16" t="s">
        <v>301</v>
      </c>
      <c r="C16" s="18" t="s">
        <v>49</v>
      </c>
      <c r="D16" s="18" t="s">
        <v>50</v>
      </c>
      <c r="E16" s="1" t="s">
        <v>263</v>
      </c>
      <c r="H16" s="18" t="s">
        <v>90</v>
      </c>
    </row>
    <row r="17" spans="1:8" x14ac:dyDescent="0.25">
      <c r="A17" s="18" t="s">
        <v>1</v>
      </c>
      <c r="B17" t="s">
        <v>302</v>
      </c>
      <c r="C17" s="18" t="s">
        <v>49</v>
      </c>
      <c r="D17" s="18" t="s">
        <v>50</v>
      </c>
      <c r="E17" s="1" t="s">
        <v>263</v>
      </c>
      <c r="H17" s="18" t="s">
        <v>90</v>
      </c>
    </row>
    <row r="18" spans="1:8" x14ac:dyDescent="0.25">
      <c r="A18" s="18" t="s">
        <v>1</v>
      </c>
      <c r="B18" t="s">
        <v>303</v>
      </c>
      <c r="C18" s="18" t="s">
        <v>49</v>
      </c>
      <c r="D18" s="18" t="s">
        <v>50</v>
      </c>
      <c r="E18" s="1" t="s">
        <v>263</v>
      </c>
      <c r="H18" s="18" t="s">
        <v>90</v>
      </c>
    </row>
    <row r="19" spans="1:8" x14ac:dyDescent="0.25">
      <c r="A19" s="18" t="s">
        <v>1</v>
      </c>
      <c r="B19" t="s">
        <v>304</v>
      </c>
      <c r="C19" s="18" t="s">
        <v>49</v>
      </c>
      <c r="D19" s="18" t="s">
        <v>50</v>
      </c>
      <c r="E19" s="1" t="s">
        <v>263</v>
      </c>
      <c r="H19" s="18" t="s">
        <v>90</v>
      </c>
    </row>
    <row r="20" spans="1:8" x14ac:dyDescent="0.25">
      <c r="A20" s="18" t="s">
        <v>1</v>
      </c>
      <c r="B20" t="s">
        <v>305</v>
      </c>
      <c r="C20" s="18" t="s">
        <v>49</v>
      </c>
      <c r="D20" s="18" t="s">
        <v>50</v>
      </c>
      <c r="E20" s="1" t="s">
        <v>264</v>
      </c>
      <c r="H20" s="18" t="s">
        <v>90</v>
      </c>
    </row>
    <row r="21" spans="1:8" x14ac:dyDescent="0.25">
      <c r="A21" s="18" t="s">
        <v>1</v>
      </c>
      <c r="B21" t="s">
        <v>306</v>
      </c>
      <c r="C21" s="18" t="s">
        <v>49</v>
      </c>
      <c r="D21" s="18" t="s">
        <v>50</v>
      </c>
      <c r="E21" s="1" t="s">
        <v>264</v>
      </c>
      <c r="H21" s="18" t="s">
        <v>90</v>
      </c>
    </row>
    <row r="22" spans="1:8" x14ac:dyDescent="0.25">
      <c r="A22" s="18" t="s">
        <v>1</v>
      </c>
      <c r="B22" t="s">
        <v>307</v>
      </c>
      <c r="C22" s="18" t="s">
        <v>49</v>
      </c>
      <c r="D22" s="18" t="s">
        <v>50</v>
      </c>
      <c r="E22" s="1" t="s">
        <v>263</v>
      </c>
      <c r="H22" s="18" t="s">
        <v>90</v>
      </c>
    </row>
    <row r="23" spans="1:8" x14ac:dyDescent="0.25">
      <c r="A23" s="18" t="s">
        <v>1</v>
      </c>
      <c r="B23" t="s">
        <v>308</v>
      </c>
      <c r="C23" s="18" t="s">
        <v>49</v>
      </c>
      <c r="D23" s="18" t="s">
        <v>50</v>
      </c>
      <c r="E23" s="1" t="s">
        <v>263</v>
      </c>
      <c r="H23" s="18" t="s">
        <v>90</v>
      </c>
    </row>
    <row r="24" spans="1:8" x14ac:dyDescent="0.25">
      <c r="A24" s="18" t="s">
        <v>1</v>
      </c>
      <c r="B24" t="s">
        <v>309</v>
      </c>
      <c r="C24" s="18" t="s">
        <v>49</v>
      </c>
      <c r="D24" s="18" t="s">
        <v>50</v>
      </c>
      <c r="E24" s="1" t="s">
        <v>263</v>
      </c>
      <c r="H24" s="18" t="s">
        <v>90</v>
      </c>
    </row>
    <row r="25" spans="1:8" x14ac:dyDescent="0.25">
      <c r="A25" s="18" t="s">
        <v>1</v>
      </c>
      <c r="B25" t="s">
        <v>310</v>
      </c>
      <c r="C25" s="18" t="s">
        <v>49</v>
      </c>
      <c r="D25" s="18" t="s">
        <v>50</v>
      </c>
      <c r="E25" s="1" t="s">
        <v>279</v>
      </c>
      <c r="H25" s="18" t="s">
        <v>90</v>
      </c>
    </row>
    <row r="26" spans="1:8" x14ac:dyDescent="0.25">
      <c r="A26" s="18" t="s">
        <v>1</v>
      </c>
      <c r="B26" t="s">
        <v>311</v>
      </c>
      <c r="C26" s="18" t="s">
        <v>49</v>
      </c>
      <c r="D26" s="18" t="s">
        <v>50</v>
      </c>
      <c r="E26" s="1" t="s">
        <v>263</v>
      </c>
      <c r="H26" s="18" t="s">
        <v>90</v>
      </c>
    </row>
    <row r="27" spans="1:8" x14ac:dyDescent="0.25">
      <c r="A27" s="18" t="s">
        <v>1</v>
      </c>
      <c r="B27" t="s">
        <v>312</v>
      </c>
      <c r="C27" s="18" t="s">
        <v>49</v>
      </c>
      <c r="D27" s="18" t="s">
        <v>50</v>
      </c>
      <c r="E27" s="1" t="s">
        <v>263</v>
      </c>
      <c r="H27" s="18" t="s">
        <v>90</v>
      </c>
    </row>
    <row r="28" spans="1:8" x14ac:dyDescent="0.25">
      <c r="A28" s="18" t="s">
        <v>1</v>
      </c>
      <c r="B28" t="s">
        <v>313</v>
      </c>
      <c r="C28" s="18" t="s">
        <v>49</v>
      </c>
      <c r="D28" s="18" t="s">
        <v>50</v>
      </c>
      <c r="E28" s="1" t="s">
        <v>262</v>
      </c>
      <c r="H28" s="18" t="s">
        <v>90</v>
      </c>
    </row>
    <row r="29" spans="1:8" x14ac:dyDescent="0.25">
      <c r="A29" s="18" t="s">
        <v>1</v>
      </c>
      <c r="B29" t="s">
        <v>314</v>
      </c>
      <c r="C29" s="18" t="s">
        <v>49</v>
      </c>
      <c r="D29" s="18" t="s">
        <v>50</v>
      </c>
      <c r="E29" s="1" t="s">
        <v>263</v>
      </c>
      <c r="H29" s="18" t="s">
        <v>90</v>
      </c>
    </row>
    <row r="30" spans="1:8" x14ac:dyDescent="0.25">
      <c r="A30" s="18" t="s">
        <v>1</v>
      </c>
      <c r="B30" t="s">
        <v>315</v>
      </c>
      <c r="C30" s="18" t="s">
        <v>49</v>
      </c>
      <c r="D30" s="18" t="s">
        <v>50</v>
      </c>
      <c r="E30" s="1" t="s">
        <v>261</v>
      </c>
      <c r="H30" s="18" t="s">
        <v>90</v>
      </c>
    </row>
    <row r="31" spans="1:8" x14ac:dyDescent="0.25">
      <c r="A31" s="18" t="s">
        <v>1</v>
      </c>
      <c r="B31" t="s">
        <v>316</v>
      </c>
      <c r="C31" s="18" t="s">
        <v>49</v>
      </c>
      <c r="D31" s="18" t="s">
        <v>50</v>
      </c>
      <c r="E31" s="1" t="s">
        <v>261</v>
      </c>
      <c r="H31" s="18" t="s">
        <v>90</v>
      </c>
    </row>
    <row r="32" spans="1:8" x14ac:dyDescent="0.25">
      <c r="A32" s="18" t="s">
        <v>1</v>
      </c>
      <c r="B32" t="s">
        <v>317</v>
      </c>
      <c r="C32" s="18" t="s">
        <v>49</v>
      </c>
      <c r="D32" s="18" t="s">
        <v>50</v>
      </c>
      <c r="E32" s="1" t="s">
        <v>264</v>
      </c>
      <c r="H32" s="18" t="s">
        <v>90</v>
      </c>
    </row>
    <row r="33" spans="1:8" x14ac:dyDescent="0.25">
      <c r="A33" s="18" t="s">
        <v>1</v>
      </c>
      <c r="B33" t="s">
        <v>318</v>
      </c>
      <c r="C33" s="18" t="s">
        <v>49</v>
      </c>
      <c r="D33" s="18" t="s">
        <v>50</v>
      </c>
      <c r="E33" s="1" t="s">
        <v>262</v>
      </c>
      <c r="H33" s="18" t="s">
        <v>90</v>
      </c>
    </row>
    <row r="34" spans="1:8" x14ac:dyDescent="0.25">
      <c r="A34" s="18" t="s">
        <v>1</v>
      </c>
      <c r="B34" t="s">
        <v>319</v>
      </c>
      <c r="C34" s="18" t="s">
        <v>49</v>
      </c>
      <c r="D34" s="18" t="s">
        <v>50</v>
      </c>
      <c r="E34" s="1" t="s">
        <v>262</v>
      </c>
      <c r="H34" s="18" t="s">
        <v>90</v>
      </c>
    </row>
    <row r="35" spans="1:8" x14ac:dyDescent="0.25">
      <c r="A35" s="18" t="s">
        <v>1</v>
      </c>
      <c r="B35" t="s">
        <v>320</v>
      </c>
      <c r="C35" s="18" t="s">
        <v>49</v>
      </c>
      <c r="D35" s="18" t="s">
        <v>50</v>
      </c>
      <c r="E35" s="1" t="s">
        <v>262</v>
      </c>
      <c r="H35" s="18" t="s">
        <v>90</v>
      </c>
    </row>
    <row r="36" spans="1:8" x14ac:dyDescent="0.25">
      <c r="A36" s="18" t="s">
        <v>1</v>
      </c>
      <c r="B36" t="s">
        <v>321</v>
      </c>
      <c r="C36" s="18" t="s">
        <v>49</v>
      </c>
      <c r="D36" s="18" t="s">
        <v>50</v>
      </c>
      <c r="E36" s="1" t="s">
        <v>262</v>
      </c>
      <c r="H36" s="18" t="s">
        <v>90</v>
      </c>
    </row>
    <row r="37" spans="1:8" x14ac:dyDescent="0.25">
      <c r="A37" s="18" t="s">
        <v>1</v>
      </c>
      <c r="B37" t="s">
        <v>322</v>
      </c>
      <c r="C37" s="18" t="s">
        <v>49</v>
      </c>
      <c r="D37" s="18" t="s">
        <v>50</v>
      </c>
      <c r="E37" s="1" t="s">
        <v>262</v>
      </c>
      <c r="H37" s="18" t="s">
        <v>90</v>
      </c>
    </row>
    <row r="38" spans="1:8" x14ac:dyDescent="0.25">
      <c r="A38" s="18" t="s">
        <v>1</v>
      </c>
      <c r="B38" t="s">
        <v>323</v>
      </c>
      <c r="C38" s="18" t="s">
        <v>49</v>
      </c>
      <c r="D38" s="18" t="s">
        <v>50</v>
      </c>
      <c r="E38" s="1" t="s">
        <v>264</v>
      </c>
      <c r="H38" s="18" t="s">
        <v>90</v>
      </c>
    </row>
    <row r="39" spans="1:8" x14ac:dyDescent="0.25">
      <c r="A39" s="18" t="s">
        <v>1</v>
      </c>
      <c r="B39" t="s">
        <v>324</v>
      </c>
      <c r="C39" s="18" t="s">
        <v>49</v>
      </c>
      <c r="D39" s="18" t="s">
        <v>50</v>
      </c>
      <c r="E39" s="1" t="s">
        <v>264</v>
      </c>
      <c r="H39" s="18" t="s">
        <v>90</v>
      </c>
    </row>
    <row r="40" spans="1:8" x14ac:dyDescent="0.25">
      <c r="A40" s="18" t="s">
        <v>1</v>
      </c>
      <c r="B40" t="s">
        <v>325</v>
      </c>
      <c r="C40" s="18" t="s">
        <v>49</v>
      </c>
      <c r="D40" s="18" t="s">
        <v>50</v>
      </c>
      <c r="E40" s="1" t="s">
        <v>279</v>
      </c>
      <c r="H40" s="18" t="s">
        <v>90</v>
      </c>
    </row>
    <row r="41" spans="1:8" x14ac:dyDescent="0.25">
      <c r="A41" s="18" t="s">
        <v>1</v>
      </c>
      <c r="B41" t="s">
        <v>326</v>
      </c>
      <c r="C41" s="18" t="s">
        <v>49</v>
      </c>
      <c r="D41" s="18" t="s">
        <v>50</v>
      </c>
      <c r="E41" s="1" t="s">
        <v>262</v>
      </c>
      <c r="H41" s="18" t="s">
        <v>90</v>
      </c>
    </row>
    <row r="42" spans="1:8" x14ac:dyDescent="0.25">
      <c r="A42" s="18" t="s">
        <v>1</v>
      </c>
      <c r="B42" t="s">
        <v>327</v>
      </c>
      <c r="C42" s="18" t="s">
        <v>49</v>
      </c>
      <c r="D42" s="18" t="s">
        <v>50</v>
      </c>
      <c r="E42" s="1" t="s">
        <v>264</v>
      </c>
      <c r="H42" s="18" t="s">
        <v>90</v>
      </c>
    </row>
    <row r="43" spans="1:8" x14ac:dyDescent="0.25">
      <c r="A43" s="18" t="s">
        <v>1</v>
      </c>
      <c r="B43" t="s">
        <v>328</v>
      </c>
      <c r="C43" s="18" t="s">
        <v>49</v>
      </c>
      <c r="D43" s="18" t="s">
        <v>50</v>
      </c>
      <c r="E43" s="1" t="s">
        <v>264</v>
      </c>
      <c r="H43" s="18" t="s">
        <v>90</v>
      </c>
    </row>
    <row r="44" spans="1:8" x14ac:dyDescent="0.25">
      <c r="A44" s="18" t="s">
        <v>1</v>
      </c>
      <c r="B44" t="s">
        <v>329</v>
      </c>
      <c r="C44" s="18" t="s">
        <v>49</v>
      </c>
      <c r="D44" s="18" t="s">
        <v>50</v>
      </c>
      <c r="E44" s="1" t="s">
        <v>264</v>
      </c>
      <c r="H44" s="18" t="s">
        <v>90</v>
      </c>
    </row>
    <row r="45" spans="1:8" x14ac:dyDescent="0.25">
      <c r="A45" s="18" t="s">
        <v>1</v>
      </c>
      <c r="B45" t="s">
        <v>330</v>
      </c>
      <c r="C45" s="18" t="s">
        <v>49</v>
      </c>
      <c r="D45" s="18" t="s">
        <v>50</v>
      </c>
      <c r="E45" s="1" t="s">
        <v>264</v>
      </c>
      <c r="H45" s="18" t="s">
        <v>90</v>
      </c>
    </row>
    <row r="46" spans="1:8" x14ac:dyDescent="0.25">
      <c r="A46" s="18" t="s">
        <v>1</v>
      </c>
      <c r="B46" t="s">
        <v>331</v>
      </c>
      <c r="C46" s="18" t="s">
        <v>49</v>
      </c>
      <c r="D46" s="18" t="s">
        <v>50</v>
      </c>
      <c r="E46" s="1" t="s">
        <v>279</v>
      </c>
      <c r="H46" s="18" t="s">
        <v>90</v>
      </c>
    </row>
    <row r="47" spans="1:8" x14ac:dyDescent="0.25">
      <c r="A47" s="18" t="s">
        <v>1</v>
      </c>
      <c r="B47" t="s">
        <v>332</v>
      </c>
      <c r="C47" s="18" t="s">
        <v>49</v>
      </c>
      <c r="D47" s="18" t="s">
        <v>50</v>
      </c>
      <c r="E47" s="1" t="s">
        <v>262</v>
      </c>
      <c r="H47" s="18" t="s">
        <v>90</v>
      </c>
    </row>
    <row r="48" spans="1:8" x14ac:dyDescent="0.25">
      <c r="A48" s="18" t="s">
        <v>1</v>
      </c>
      <c r="B48" t="s">
        <v>333</v>
      </c>
      <c r="C48" s="18" t="s">
        <v>49</v>
      </c>
      <c r="D48" s="18" t="s">
        <v>50</v>
      </c>
      <c r="E48" s="1" t="s">
        <v>262</v>
      </c>
      <c r="H48" s="18" t="s">
        <v>90</v>
      </c>
    </row>
    <row r="49" spans="1:8" x14ac:dyDescent="0.25">
      <c r="A49" s="18" t="s">
        <v>1</v>
      </c>
      <c r="B49" t="s">
        <v>334</v>
      </c>
      <c r="C49" s="18" t="s">
        <v>49</v>
      </c>
      <c r="D49" s="18" t="s">
        <v>50</v>
      </c>
      <c r="E49" s="1" t="s">
        <v>263</v>
      </c>
      <c r="H49" s="18" t="s">
        <v>90</v>
      </c>
    </row>
    <row r="50" spans="1:8" x14ac:dyDescent="0.25">
      <c r="A50" s="18" t="s">
        <v>1</v>
      </c>
      <c r="B50" t="s">
        <v>335</v>
      </c>
      <c r="C50" s="18" t="s">
        <v>49</v>
      </c>
      <c r="D50" s="18" t="s">
        <v>50</v>
      </c>
      <c r="E50" s="1" t="s">
        <v>263</v>
      </c>
      <c r="H50" s="18" t="s">
        <v>90</v>
      </c>
    </row>
    <row r="51" spans="1:8" x14ac:dyDescent="0.25">
      <c r="A51" s="18" t="s">
        <v>1</v>
      </c>
      <c r="B51" t="s">
        <v>336</v>
      </c>
      <c r="C51" s="18" t="s">
        <v>49</v>
      </c>
      <c r="D51" s="18" t="s">
        <v>50</v>
      </c>
      <c r="E51" s="1" t="s">
        <v>263</v>
      </c>
      <c r="H51" s="18" t="s">
        <v>90</v>
      </c>
    </row>
    <row r="52" spans="1:8" x14ac:dyDescent="0.25">
      <c r="A52" s="18" t="s">
        <v>1</v>
      </c>
      <c r="B52" t="s">
        <v>337</v>
      </c>
      <c r="C52" s="18" t="s">
        <v>49</v>
      </c>
      <c r="D52" s="18" t="s">
        <v>50</v>
      </c>
      <c r="E52" s="1" t="s">
        <v>262</v>
      </c>
      <c r="H52" s="18" t="s">
        <v>90</v>
      </c>
    </row>
    <row r="53" spans="1:8" x14ac:dyDescent="0.25">
      <c r="A53" s="18" t="s">
        <v>1</v>
      </c>
      <c r="B53" t="s">
        <v>338</v>
      </c>
      <c r="C53" s="18" t="s">
        <v>49</v>
      </c>
      <c r="D53" s="18" t="s">
        <v>50</v>
      </c>
      <c r="E53" s="1" t="s">
        <v>262</v>
      </c>
      <c r="H53" s="18" t="s">
        <v>90</v>
      </c>
    </row>
    <row r="54" spans="1:8" x14ac:dyDescent="0.25">
      <c r="A54" s="18" t="s">
        <v>1</v>
      </c>
      <c r="B54" t="s">
        <v>339</v>
      </c>
      <c r="C54" s="18" t="s">
        <v>49</v>
      </c>
      <c r="D54" s="18" t="s">
        <v>50</v>
      </c>
      <c r="E54" s="1" t="s">
        <v>279</v>
      </c>
      <c r="H54" s="18" t="s">
        <v>90</v>
      </c>
    </row>
    <row r="55" spans="1:8" x14ac:dyDescent="0.25">
      <c r="A55" s="18" t="s">
        <v>1</v>
      </c>
      <c r="B55" t="s">
        <v>340</v>
      </c>
      <c r="C55" s="18" t="s">
        <v>49</v>
      </c>
      <c r="D55" s="18" t="s">
        <v>50</v>
      </c>
      <c r="E55" s="1" t="s">
        <v>279</v>
      </c>
      <c r="H55" s="18" t="s">
        <v>90</v>
      </c>
    </row>
    <row r="56" spans="1:8" x14ac:dyDescent="0.25">
      <c r="A56" s="18" t="s">
        <v>1</v>
      </c>
      <c r="B56" t="s">
        <v>341</v>
      </c>
      <c r="C56" s="18" t="s">
        <v>49</v>
      </c>
      <c r="D56" s="18" t="s">
        <v>50</v>
      </c>
      <c r="E56" s="1" t="s">
        <v>473</v>
      </c>
      <c r="H56" s="18" t="s">
        <v>90</v>
      </c>
    </row>
    <row r="57" spans="1:8" x14ac:dyDescent="0.25">
      <c r="A57" s="18" t="s">
        <v>1</v>
      </c>
      <c r="B57" t="s">
        <v>342</v>
      </c>
      <c r="C57" s="18" t="s">
        <v>49</v>
      </c>
      <c r="D57" s="18" t="s">
        <v>50</v>
      </c>
      <c r="E57" s="1" t="s">
        <v>262</v>
      </c>
      <c r="H57" s="18" t="s">
        <v>90</v>
      </c>
    </row>
    <row r="58" spans="1:8" x14ac:dyDescent="0.25">
      <c r="A58" s="18" t="s">
        <v>1</v>
      </c>
      <c r="B58" t="s">
        <v>343</v>
      </c>
      <c r="C58" s="18" t="s">
        <v>49</v>
      </c>
      <c r="D58" s="18" t="s">
        <v>50</v>
      </c>
      <c r="E58" s="1" t="s">
        <v>263</v>
      </c>
      <c r="H58" s="18" t="s">
        <v>90</v>
      </c>
    </row>
    <row r="59" spans="1:8" x14ac:dyDescent="0.25">
      <c r="A59" s="18" t="s">
        <v>1</v>
      </c>
      <c r="B59" t="s">
        <v>344</v>
      </c>
      <c r="C59" s="18" t="s">
        <v>49</v>
      </c>
      <c r="D59" s="18" t="s">
        <v>50</v>
      </c>
      <c r="E59" s="1" t="s">
        <v>263</v>
      </c>
      <c r="H59" s="18" t="s">
        <v>90</v>
      </c>
    </row>
    <row r="60" spans="1:8" x14ac:dyDescent="0.25">
      <c r="A60" s="18" t="s">
        <v>1</v>
      </c>
      <c r="B60" t="s">
        <v>345</v>
      </c>
      <c r="C60" s="18" t="s">
        <v>49</v>
      </c>
      <c r="D60" s="18" t="s">
        <v>50</v>
      </c>
      <c r="E60" s="1" t="s">
        <v>263</v>
      </c>
      <c r="H60" s="18" t="s">
        <v>90</v>
      </c>
    </row>
    <row r="61" spans="1:8" x14ac:dyDescent="0.25">
      <c r="A61" s="18" t="s">
        <v>1</v>
      </c>
      <c r="B61" t="s">
        <v>346</v>
      </c>
      <c r="C61" s="18" t="s">
        <v>49</v>
      </c>
      <c r="D61" s="18" t="s">
        <v>50</v>
      </c>
      <c r="E61" s="1" t="s">
        <v>263</v>
      </c>
      <c r="H61" s="18" t="s">
        <v>90</v>
      </c>
    </row>
    <row r="62" spans="1:8" x14ac:dyDescent="0.25">
      <c r="A62" s="18" t="s">
        <v>1</v>
      </c>
      <c r="B62" t="s">
        <v>347</v>
      </c>
      <c r="C62" s="18" t="s">
        <v>49</v>
      </c>
      <c r="D62" s="18" t="s">
        <v>50</v>
      </c>
      <c r="E62" s="1" t="s">
        <v>473</v>
      </c>
      <c r="H62" s="18" t="s">
        <v>90</v>
      </c>
    </row>
    <row r="63" spans="1:8" x14ac:dyDescent="0.25">
      <c r="A63" s="18" t="s">
        <v>1</v>
      </c>
      <c r="B63" t="s">
        <v>348</v>
      </c>
      <c r="C63" s="18" t="s">
        <v>49</v>
      </c>
      <c r="D63" s="18" t="s">
        <v>50</v>
      </c>
      <c r="E63" s="1" t="s">
        <v>263</v>
      </c>
      <c r="H63" s="18" t="s">
        <v>90</v>
      </c>
    </row>
    <row r="64" spans="1:8" x14ac:dyDescent="0.25">
      <c r="A64" s="18" t="s">
        <v>1</v>
      </c>
      <c r="B64" t="s">
        <v>349</v>
      </c>
      <c r="C64" s="18" t="s">
        <v>49</v>
      </c>
      <c r="D64" s="18" t="s">
        <v>50</v>
      </c>
      <c r="E64" s="1" t="s">
        <v>473</v>
      </c>
      <c r="H64" s="18" t="s">
        <v>90</v>
      </c>
    </row>
    <row r="65" spans="1:8" x14ac:dyDescent="0.25">
      <c r="A65" s="18" t="s">
        <v>1</v>
      </c>
      <c r="B65" t="s">
        <v>350</v>
      </c>
      <c r="C65" s="18" t="s">
        <v>49</v>
      </c>
      <c r="D65" s="18" t="s">
        <v>50</v>
      </c>
      <c r="E65" s="1" t="s">
        <v>262</v>
      </c>
      <c r="H65" s="18" t="s">
        <v>90</v>
      </c>
    </row>
    <row r="66" spans="1:8" x14ac:dyDescent="0.25">
      <c r="A66" s="18" t="s">
        <v>1</v>
      </c>
      <c r="B66" t="s">
        <v>351</v>
      </c>
      <c r="C66" s="18" t="s">
        <v>49</v>
      </c>
      <c r="D66" s="18" t="s">
        <v>50</v>
      </c>
      <c r="E66" s="1" t="s">
        <v>474</v>
      </c>
      <c r="H66" s="18" t="s">
        <v>90</v>
      </c>
    </row>
    <row r="67" spans="1:8" x14ac:dyDescent="0.25">
      <c r="A67" s="18" t="s">
        <v>1</v>
      </c>
      <c r="B67" t="s">
        <v>352</v>
      </c>
      <c r="C67" s="18" t="s">
        <v>49</v>
      </c>
      <c r="D67" s="18" t="s">
        <v>50</v>
      </c>
      <c r="E67" s="1" t="s">
        <v>262</v>
      </c>
      <c r="H67" s="18" t="s">
        <v>90</v>
      </c>
    </row>
    <row r="68" spans="1:8" x14ac:dyDescent="0.25">
      <c r="A68" s="18" t="s">
        <v>1</v>
      </c>
      <c r="B68" t="s">
        <v>353</v>
      </c>
      <c r="C68" s="18" t="s">
        <v>49</v>
      </c>
      <c r="D68" s="18" t="s">
        <v>50</v>
      </c>
      <c r="E68" s="1" t="s">
        <v>262</v>
      </c>
      <c r="H68" s="18" t="s">
        <v>90</v>
      </c>
    </row>
    <row r="69" spans="1:8" x14ac:dyDescent="0.25">
      <c r="A69" s="18" t="s">
        <v>1</v>
      </c>
      <c r="B69" t="s">
        <v>354</v>
      </c>
      <c r="C69" s="18" t="s">
        <v>49</v>
      </c>
      <c r="D69" s="18" t="s">
        <v>50</v>
      </c>
      <c r="E69" s="1" t="s">
        <v>262</v>
      </c>
      <c r="H69" s="18" t="s">
        <v>90</v>
      </c>
    </row>
    <row r="70" spans="1:8" x14ac:dyDescent="0.25">
      <c r="A70" s="18" t="s">
        <v>1</v>
      </c>
      <c r="B70" t="s">
        <v>355</v>
      </c>
      <c r="C70" s="18" t="s">
        <v>49</v>
      </c>
      <c r="D70" s="18" t="s">
        <v>50</v>
      </c>
      <c r="E70" s="1" t="s">
        <v>263</v>
      </c>
      <c r="H70" s="18" t="s">
        <v>90</v>
      </c>
    </row>
    <row r="71" spans="1:8" x14ac:dyDescent="0.25">
      <c r="A71" s="18" t="s">
        <v>1</v>
      </c>
      <c r="B71" t="s">
        <v>356</v>
      </c>
      <c r="C71" s="18" t="s">
        <v>49</v>
      </c>
      <c r="D71" s="18" t="s">
        <v>50</v>
      </c>
      <c r="E71" s="1" t="s">
        <v>263</v>
      </c>
      <c r="H71" s="18" t="s">
        <v>90</v>
      </c>
    </row>
    <row r="72" spans="1:8" x14ac:dyDescent="0.25">
      <c r="A72" s="18" t="s">
        <v>1</v>
      </c>
      <c r="B72" t="s">
        <v>357</v>
      </c>
      <c r="C72" s="18" t="s">
        <v>49</v>
      </c>
      <c r="D72" s="18" t="s">
        <v>50</v>
      </c>
      <c r="E72" s="1" t="s">
        <v>263</v>
      </c>
      <c r="H72" s="18" t="s">
        <v>90</v>
      </c>
    </row>
    <row r="73" spans="1:8" x14ac:dyDescent="0.25">
      <c r="A73" s="18" t="s">
        <v>1</v>
      </c>
      <c r="B73" t="s">
        <v>358</v>
      </c>
      <c r="C73" s="18" t="s">
        <v>49</v>
      </c>
      <c r="D73" s="18" t="s">
        <v>50</v>
      </c>
      <c r="E73" s="1" t="s">
        <v>263</v>
      </c>
      <c r="H73" s="18" t="s">
        <v>90</v>
      </c>
    </row>
    <row r="74" spans="1:8" x14ac:dyDescent="0.25">
      <c r="A74" s="18" t="s">
        <v>1</v>
      </c>
      <c r="B74" t="s">
        <v>359</v>
      </c>
      <c r="C74" s="18" t="s">
        <v>49</v>
      </c>
      <c r="D74" s="18" t="s">
        <v>50</v>
      </c>
      <c r="E74" s="1" t="s">
        <v>263</v>
      </c>
      <c r="H74" s="18" t="s">
        <v>90</v>
      </c>
    </row>
    <row r="75" spans="1:8" x14ac:dyDescent="0.25">
      <c r="A75" s="18" t="s">
        <v>1</v>
      </c>
      <c r="B75" t="s">
        <v>360</v>
      </c>
      <c r="C75" s="18" t="s">
        <v>49</v>
      </c>
      <c r="D75" s="18" t="s">
        <v>50</v>
      </c>
      <c r="E75" s="1" t="s">
        <v>263</v>
      </c>
      <c r="H75" s="18" t="s">
        <v>90</v>
      </c>
    </row>
    <row r="76" spans="1:8" x14ac:dyDescent="0.25">
      <c r="A76" s="18" t="s">
        <v>1</v>
      </c>
      <c r="B76" t="s">
        <v>361</v>
      </c>
      <c r="C76" s="18" t="s">
        <v>49</v>
      </c>
      <c r="D76" s="18" t="s">
        <v>50</v>
      </c>
      <c r="E76" s="1" t="s">
        <v>263</v>
      </c>
      <c r="H76" s="18" t="s">
        <v>90</v>
      </c>
    </row>
    <row r="77" spans="1:8" x14ac:dyDescent="0.25">
      <c r="A77" s="18" t="s">
        <v>1</v>
      </c>
      <c r="B77" t="s">
        <v>362</v>
      </c>
      <c r="C77" s="18" t="s">
        <v>49</v>
      </c>
      <c r="D77" s="18" t="s">
        <v>50</v>
      </c>
      <c r="E77" s="1" t="s">
        <v>262</v>
      </c>
      <c r="H77" s="18" t="s">
        <v>90</v>
      </c>
    </row>
    <row r="78" spans="1:8" x14ac:dyDescent="0.25">
      <c r="A78" s="18" t="s">
        <v>1</v>
      </c>
      <c r="B78" t="s">
        <v>363</v>
      </c>
      <c r="C78" s="18" t="s">
        <v>49</v>
      </c>
      <c r="D78" s="18" t="s">
        <v>50</v>
      </c>
      <c r="E78" s="1" t="s">
        <v>262</v>
      </c>
      <c r="H78" s="18" t="s">
        <v>90</v>
      </c>
    </row>
    <row r="79" spans="1:8" x14ac:dyDescent="0.25">
      <c r="A79" s="18" t="s">
        <v>1</v>
      </c>
      <c r="B79" t="s">
        <v>364</v>
      </c>
      <c r="C79" s="18" t="s">
        <v>49</v>
      </c>
      <c r="D79" s="18" t="s">
        <v>50</v>
      </c>
      <c r="E79" s="1" t="s">
        <v>263</v>
      </c>
      <c r="H79" s="18" t="s">
        <v>90</v>
      </c>
    </row>
    <row r="80" spans="1:8" x14ac:dyDescent="0.25">
      <c r="A80" s="18" t="s">
        <v>1</v>
      </c>
      <c r="B80" t="s">
        <v>365</v>
      </c>
      <c r="C80" s="18" t="s">
        <v>49</v>
      </c>
      <c r="D80" s="18" t="s">
        <v>50</v>
      </c>
      <c r="E80" s="1" t="s">
        <v>263</v>
      </c>
      <c r="H80" s="18" t="s">
        <v>90</v>
      </c>
    </row>
    <row r="81" spans="1:8" x14ac:dyDescent="0.25">
      <c r="A81" s="18" t="s">
        <v>1</v>
      </c>
      <c r="B81" t="s">
        <v>366</v>
      </c>
      <c r="C81" s="18" t="s">
        <v>49</v>
      </c>
      <c r="D81" s="18" t="s">
        <v>50</v>
      </c>
      <c r="E81" s="1" t="s">
        <v>262</v>
      </c>
      <c r="H81" s="18" t="s">
        <v>90</v>
      </c>
    </row>
    <row r="82" spans="1:8" x14ac:dyDescent="0.25">
      <c r="A82" s="18" t="s">
        <v>1</v>
      </c>
      <c r="B82" t="s">
        <v>367</v>
      </c>
      <c r="C82" s="18" t="s">
        <v>49</v>
      </c>
      <c r="D82" s="18" t="s">
        <v>50</v>
      </c>
      <c r="E82" s="1" t="s">
        <v>262</v>
      </c>
      <c r="H82" s="18" t="s">
        <v>90</v>
      </c>
    </row>
    <row r="83" spans="1:8" x14ac:dyDescent="0.25">
      <c r="A83" s="18" t="s">
        <v>1</v>
      </c>
      <c r="B83" t="s">
        <v>368</v>
      </c>
      <c r="C83" s="18" t="s">
        <v>49</v>
      </c>
      <c r="D83" s="18" t="s">
        <v>50</v>
      </c>
      <c r="E83" s="1" t="s">
        <v>262</v>
      </c>
      <c r="H83" s="18" t="s">
        <v>90</v>
      </c>
    </row>
    <row r="84" spans="1:8" x14ac:dyDescent="0.25">
      <c r="A84" s="18" t="s">
        <v>1</v>
      </c>
      <c r="B84" t="s">
        <v>369</v>
      </c>
      <c r="C84" s="18" t="s">
        <v>49</v>
      </c>
      <c r="D84" s="18" t="s">
        <v>50</v>
      </c>
      <c r="E84" s="1" t="s">
        <v>262</v>
      </c>
      <c r="H84" s="18" t="s">
        <v>90</v>
      </c>
    </row>
    <row r="85" spans="1:8" x14ac:dyDescent="0.25">
      <c r="A85" s="18" t="s">
        <v>1</v>
      </c>
      <c r="B85" t="s">
        <v>370</v>
      </c>
      <c r="C85" s="18" t="s">
        <v>49</v>
      </c>
      <c r="D85" s="18" t="s">
        <v>50</v>
      </c>
      <c r="E85" s="1" t="s">
        <v>262</v>
      </c>
      <c r="H85" s="18" t="s">
        <v>90</v>
      </c>
    </row>
    <row r="86" spans="1:8" x14ac:dyDescent="0.25">
      <c r="A86" s="18" t="s">
        <v>1</v>
      </c>
      <c r="B86" t="s">
        <v>371</v>
      </c>
      <c r="C86" s="18" t="s">
        <v>49</v>
      </c>
      <c r="D86" s="18" t="s">
        <v>50</v>
      </c>
      <c r="E86" s="1" t="s">
        <v>262</v>
      </c>
      <c r="H86" s="18" t="s">
        <v>90</v>
      </c>
    </row>
    <row r="87" spans="1:8" x14ac:dyDescent="0.25">
      <c r="A87" s="18" t="s">
        <v>1</v>
      </c>
      <c r="B87" t="s">
        <v>372</v>
      </c>
      <c r="C87" s="18" t="s">
        <v>49</v>
      </c>
      <c r="D87" s="18" t="s">
        <v>50</v>
      </c>
      <c r="E87" s="1" t="s">
        <v>262</v>
      </c>
      <c r="H87" s="18" t="s">
        <v>90</v>
      </c>
    </row>
    <row r="88" spans="1:8" x14ac:dyDescent="0.25">
      <c r="A88" s="18" t="s">
        <v>1</v>
      </c>
      <c r="B88" t="s">
        <v>373</v>
      </c>
      <c r="C88" s="18" t="s">
        <v>49</v>
      </c>
      <c r="D88" s="18" t="s">
        <v>50</v>
      </c>
      <c r="E88" s="1" t="s">
        <v>263</v>
      </c>
      <c r="H88" s="18" t="s">
        <v>90</v>
      </c>
    </row>
    <row r="89" spans="1:8" x14ac:dyDescent="0.25">
      <c r="A89" s="18" t="s">
        <v>1</v>
      </c>
      <c r="B89" t="s">
        <v>374</v>
      </c>
      <c r="C89" s="18" t="s">
        <v>49</v>
      </c>
      <c r="D89" s="18" t="s">
        <v>50</v>
      </c>
      <c r="E89" s="1" t="s">
        <v>262</v>
      </c>
      <c r="H89" s="18" t="s">
        <v>90</v>
      </c>
    </row>
    <row r="90" spans="1:8" x14ac:dyDescent="0.25">
      <c r="A90" s="18" t="s">
        <v>1</v>
      </c>
      <c r="B90" t="s">
        <v>375</v>
      </c>
      <c r="C90" s="18" t="s">
        <v>49</v>
      </c>
      <c r="D90" s="18" t="s">
        <v>50</v>
      </c>
      <c r="E90" s="1" t="s">
        <v>262</v>
      </c>
      <c r="H90" s="18" t="s">
        <v>90</v>
      </c>
    </row>
    <row r="91" spans="1:8" x14ac:dyDescent="0.25">
      <c r="A91" s="18" t="s">
        <v>1</v>
      </c>
      <c r="B91" t="s">
        <v>376</v>
      </c>
      <c r="C91" s="18" t="s">
        <v>49</v>
      </c>
      <c r="D91" s="18" t="s">
        <v>50</v>
      </c>
      <c r="E91" s="1" t="s">
        <v>263</v>
      </c>
      <c r="H91" s="18" t="s">
        <v>90</v>
      </c>
    </row>
    <row r="92" spans="1:8" x14ac:dyDescent="0.25">
      <c r="A92" s="18" t="s">
        <v>1</v>
      </c>
      <c r="B92" t="s">
        <v>377</v>
      </c>
      <c r="C92" s="18" t="s">
        <v>49</v>
      </c>
      <c r="D92" s="18" t="s">
        <v>50</v>
      </c>
      <c r="E92" s="1" t="s">
        <v>263</v>
      </c>
      <c r="H92" s="18" t="s">
        <v>90</v>
      </c>
    </row>
    <row r="93" spans="1:8" x14ac:dyDescent="0.25">
      <c r="A93" s="18" t="s">
        <v>1</v>
      </c>
      <c r="B93" t="s">
        <v>378</v>
      </c>
      <c r="C93" s="18" t="s">
        <v>49</v>
      </c>
      <c r="D93" s="18" t="s">
        <v>50</v>
      </c>
      <c r="E93" s="1" t="s">
        <v>263</v>
      </c>
      <c r="H93" s="18" t="s">
        <v>90</v>
      </c>
    </row>
    <row r="94" spans="1:8" x14ac:dyDescent="0.25">
      <c r="A94" s="18" t="s">
        <v>1</v>
      </c>
      <c r="B94" t="s">
        <v>379</v>
      </c>
      <c r="C94" s="18" t="s">
        <v>49</v>
      </c>
      <c r="D94" s="18" t="s">
        <v>50</v>
      </c>
      <c r="E94" s="1" t="s">
        <v>263</v>
      </c>
      <c r="H94" s="18" t="s">
        <v>90</v>
      </c>
    </row>
    <row r="95" spans="1:8" x14ac:dyDescent="0.25">
      <c r="A95" s="18" t="s">
        <v>1</v>
      </c>
      <c r="B95" t="s">
        <v>380</v>
      </c>
      <c r="C95" s="18" t="s">
        <v>49</v>
      </c>
      <c r="D95" s="18" t="s">
        <v>50</v>
      </c>
      <c r="E95" s="1" t="s">
        <v>263</v>
      </c>
      <c r="H95" s="18" t="s">
        <v>90</v>
      </c>
    </row>
    <row r="96" spans="1:8" x14ac:dyDescent="0.25">
      <c r="A96" s="18" t="s">
        <v>1</v>
      </c>
      <c r="B96" t="s">
        <v>381</v>
      </c>
      <c r="C96" s="18" t="s">
        <v>49</v>
      </c>
      <c r="D96" s="18" t="s">
        <v>50</v>
      </c>
      <c r="E96" s="1" t="s">
        <v>263</v>
      </c>
      <c r="H96" s="18" t="s">
        <v>90</v>
      </c>
    </row>
    <row r="97" spans="1:8" x14ac:dyDescent="0.25">
      <c r="A97" s="18" t="s">
        <v>1</v>
      </c>
      <c r="B97" t="s">
        <v>382</v>
      </c>
      <c r="C97" s="18" t="s">
        <v>49</v>
      </c>
      <c r="D97" s="18" t="s">
        <v>50</v>
      </c>
      <c r="E97" s="1" t="s">
        <v>263</v>
      </c>
      <c r="H97" s="18" t="s">
        <v>90</v>
      </c>
    </row>
    <row r="98" spans="1:8" x14ac:dyDescent="0.25">
      <c r="A98" s="18" t="s">
        <v>1</v>
      </c>
      <c r="B98" t="s">
        <v>383</v>
      </c>
      <c r="C98" s="18" t="s">
        <v>49</v>
      </c>
      <c r="D98" s="18" t="s">
        <v>50</v>
      </c>
      <c r="E98" s="1" t="s">
        <v>263</v>
      </c>
      <c r="H98" s="18" t="s">
        <v>90</v>
      </c>
    </row>
    <row r="99" spans="1:8" x14ac:dyDescent="0.25">
      <c r="A99" s="18" t="s">
        <v>1</v>
      </c>
      <c r="B99" t="s">
        <v>384</v>
      </c>
      <c r="C99" s="18" t="s">
        <v>49</v>
      </c>
      <c r="D99" s="18" t="s">
        <v>50</v>
      </c>
      <c r="E99" s="1" t="s">
        <v>262</v>
      </c>
      <c r="H99" s="18" t="s">
        <v>90</v>
      </c>
    </row>
    <row r="100" spans="1:8" x14ac:dyDescent="0.25">
      <c r="A100" s="18" t="s">
        <v>1</v>
      </c>
      <c r="B100" t="s">
        <v>385</v>
      </c>
      <c r="C100" s="18" t="s">
        <v>49</v>
      </c>
      <c r="D100" s="18" t="s">
        <v>50</v>
      </c>
      <c r="E100" s="1" t="s">
        <v>263</v>
      </c>
      <c r="H100" s="18" t="s">
        <v>90</v>
      </c>
    </row>
    <row r="101" spans="1:8" x14ac:dyDescent="0.25">
      <c r="A101" s="18" t="s">
        <v>1</v>
      </c>
      <c r="B101" t="s">
        <v>386</v>
      </c>
      <c r="C101" s="18" t="s">
        <v>49</v>
      </c>
      <c r="D101" s="18" t="s">
        <v>50</v>
      </c>
      <c r="E101" s="1" t="s">
        <v>263</v>
      </c>
      <c r="H101" s="18" t="s">
        <v>90</v>
      </c>
    </row>
    <row r="102" spans="1:8" x14ac:dyDescent="0.25">
      <c r="A102" s="18" t="s">
        <v>1</v>
      </c>
      <c r="B102" t="s">
        <v>387</v>
      </c>
      <c r="C102" s="18" t="s">
        <v>49</v>
      </c>
      <c r="D102" s="18" t="s">
        <v>50</v>
      </c>
      <c r="E102" s="1" t="s">
        <v>262</v>
      </c>
      <c r="H102" s="18" t="s">
        <v>90</v>
      </c>
    </row>
    <row r="103" spans="1:8" x14ac:dyDescent="0.25">
      <c r="A103" s="18" t="s">
        <v>1</v>
      </c>
      <c r="B103" t="s">
        <v>388</v>
      </c>
      <c r="C103" s="18" t="s">
        <v>49</v>
      </c>
      <c r="D103" s="18" t="s">
        <v>50</v>
      </c>
      <c r="E103" s="1" t="s">
        <v>263</v>
      </c>
      <c r="H103" s="18" t="s">
        <v>90</v>
      </c>
    </row>
    <row r="104" spans="1:8" x14ac:dyDescent="0.25">
      <c r="A104" s="18" t="s">
        <v>1</v>
      </c>
      <c r="B104" t="s">
        <v>389</v>
      </c>
      <c r="C104" s="18" t="s">
        <v>49</v>
      </c>
      <c r="D104" s="18" t="s">
        <v>50</v>
      </c>
      <c r="E104" s="1"/>
      <c r="H104" s="18" t="s">
        <v>90</v>
      </c>
    </row>
    <row r="105" spans="1:8" x14ac:dyDescent="0.25">
      <c r="A105" s="18" t="s">
        <v>1</v>
      </c>
      <c r="B105" t="s">
        <v>390</v>
      </c>
      <c r="C105" s="18" t="s">
        <v>49</v>
      </c>
      <c r="D105" s="18" t="s">
        <v>50</v>
      </c>
      <c r="E105" s="1" t="s">
        <v>263</v>
      </c>
      <c r="H105" s="18" t="s">
        <v>90</v>
      </c>
    </row>
    <row r="106" spans="1:8" x14ac:dyDescent="0.25">
      <c r="A106" s="18" t="s">
        <v>1</v>
      </c>
      <c r="B106" t="s">
        <v>391</v>
      </c>
      <c r="C106" s="18" t="s">
        <v>49</v>
      </c>
      <c r="D106" s="18" t="s">
        <v>50</v>
      </c>
      <c r="E106" s="1" t="s">
        <v>263</v>
      </c>
      <c r="H106" s="18" t="s">
        <v>90</v>
      </c>
    </row>
    <row r="107" spans="1:8" x14ac:dyDescent="0.25">
      <c r="A107" s="18" t="s">
        <v>1</v>
      </c>
      <c r="B107" t="s">
        <v>392</v>
      </c>
      <c r="C107" s="18" t="s">
        <v>49</v>
      </c>
      <c r="D107" s="18" t="s">
        <v>50</v>
      </c>
      <c r="E107" s="1" t="s">
        <v>263</v>
      </c>
      <c r="H107" s="18" t="s">
        <v>90</v>
      </c>
    </row>
    <row r="108" spans="1:8" x14ac:dyDescent="0.25">
      <c r="A108" s="18" t="s">
        <v>1</v>
      </c>
      <c r="B108" t="s">
        <v>393</v>
      </c>
      <c r="C108" s="18" t="s">
        <v>49</v>
      </c>
      <c r="D108" s="18" t="s">
        <v>50</v>
      </c>
      <c r="E108" s="1" t="s">
        <v>263</v>
      </c>
      <c r="H108" s="18" t="s">
        <v>90</v>
      </c>
    </row>
    <row r="109" spans="1:8" x14ac:dyDescent="0.25">
      <c r="A109" s="18" t="s">
        <v>1</v>
      </c>
      <c r="B109" t="s">
        <v>394</v>
      </c>
      <c r="C109" s="18" t="s">
        <v>49</v>
      </c>
      <c r="D109" s="18" t="s">
        <v>50</v>
      </c>
      <c r="E109" s="1" t="s">
        <v>263</v>
      </c>
      <c r="H109" s="18" t="s">
        <v>90</v>
      </c>
    </row>
    <row r="110" spans="1:8" x14ac:dyDescent="0.25">
      <c r="A110" s="18" t="s">
        <v>1</v>
      </c>
      <c r="B110" t="s">
        <v>395</v>
      </c>
      <c r="C110" s="18" t="s">
        <v>49</v>
      </c>
      <c r="D110" s="18" t="s">
        <v>50</v>
      </c>
      <c r="E110" s="1" t="s">
        <v>262</v>
      </c>
      <c r="H110" s="18" t="s">
        <v>90</v>
      </c>
    </row>
    <row r="111" spans="1:8" x14ac:dyDescent="0.25">
      <c r="A111" s="18" t="s">
        <v>1</v>
      </c>
      <c r="B111" t="s">
        <v>396</v>
      </c>
      <c r="C111" s="18" t="s">
        <v>49</v>
      </c>
      <c r="D111" s="18" t="s">
        <v>50</v>
      </c>
      <c r="E111" s="1" t="s">
        <v>262</v>
      </c>
      <c r="H111" s="18" t="s">
        <v>90</v>
      </c>
    </row>
    <row r="112" spans="1:8" x14ac:dyDescent="0.25">
      <c r="A112" s="18" t="s">
        <v>1</v>
      </c>
      <c r="B112" t="s">
        <v>397</v>
      </c>
      <c r="C112" s="18" t="s">
        <v>49</v>
      </c>
      <c r="D112" s="18" t="s">
        <v>50</v>
      </c>
      <c r="E112" s="1" t="s">
        <v>263</v>
      </c>
      <c r="H112" s="18" t="s">
        <v>90</v>
      </c>
    </row>
    <row r="113" spans="1:8" x14ac:dyDescent="0.25">
      <c r="A113" s="18" t="s">
        <v>1</v>
      </c>
      <c r="B113" t="s">
        <v>398</v>
      </c>
      <c r="C113" s="18" t="s">
        <v>49</v>
      </c>
      <c r="D113" s="18" t="s">
        <v>50</v>
      </c>
      <c r="E113" s="1" t="s">
        <v>262</v>
      </c>
      <c r="H113" s="18" t="s">
        <v>90</v>
      </c>
    </row>
    <row r="114" spans="1:8" x14ac:dyDescent="0.25">
      <c r="A114" s="18" t="s">
        <v>1</v>
      </c>
      <c r="B114" t="s">
        <v>399</v>
      </c>
      <c r="C114" s="18" t="s">
        <v>49</v>
      </c>
      <c r="D114" s="18" t="s">
        <v>50</v>
      </c>
      <c r="E114" s="1" t="s">
        <v>262</v>
      </c>
      <c r="H114" s="18" t="s">
        <v>90</v>
      </c>
    </row>
    <row r="115" spans="1:8" x14ac:dyDescent="0.25">
      <c r="A115" s="18" t="s">
        <v>1</v>
      </c>
      <c r="B115" t="s">
        <v>400</v>
      </c>
      <c r="C115" s="18" t="s">
        <v>49</v>
      </c>
      <c r="D115" s="18" t="s">
        <v>50</v>
      </c>
      <c r="E115" s="1" t="s">
        <v>263</v>
      </c>
      <c r="H115" s="18" t="s">
        <v>90</v>
      </c>
    </row>
    <row r="116" spans="1:8" x14ac:dyDescent="0.25">
      <c r="A116" s="18" t="s">
        <v>1</v>
      </c>
      <c r="B116" t="s">
        <v>401</v>
      </c>
      <c r="C116" s="18" t="s">
        <v>49</v>
      </c>
      <c r="D116" s="18" t="s">
        <v>50</v>
      </c>
      <c r="E116" s="1" t="s">
        <v>263</v>
      </c>
      <c r="H116" s="18" t="s">
        <v>90</v>
      </c>
    </row>
    <row r="117" spans="1:8" x14ac:dyDescent="0.25">
      <c r="A117" s="18" t="s">
        <v>1</v>
      </c>
      <c r="B117" t="s">
        <v>402</v>
      </c>
      <c r="C117" s="18" t="s">
        <v>49</v>
      </c>
      <c r="D117" s="18" t="s">
        <v>50</v>
      </c>
      <c r="E117" s="1" t="s">
        <v>263</v>
      </c>
      <c r="H117" s="18" t="s">
        <v>90</v>
      </c>
    </row>
    <row r="118" spans="1:8" x14ac:dyDescent="0.25">
      <c r="A118" s="18" t="s">
        <v>1</v>
      </c>
      <c r="B118" t="s">
        <v>403</v>
      </c>
      <c r="C118" s="18" t="s">
        <v>49</v>
      </c>
      <c r="D118" s="18" t="s">
        <v>50</v>
      </c>
      <c r="E118" s="1" t="s">
        <v>263</v>
      </c>
      <c r="H118" s="18" t="s">
        <v>90</v>
      </c>
    </row>
    <row r="119" spans="1:8" x14ac:dyDescent="0.25">
      <c r="A119" s="18" t="s">
        <v>1</v>
      </c>
      <c r="B119" t="s">
        <v>404</v>
      </c>
      <c r="C119" s="18" t="s">
        <v>49</v>
      </c>
      <c r="D119" s="18" t="s">
        <v>50</v>
      </c>
      <c r="E119" s="1" t="s">
        <v>262</v>
      </c>
      <c r="H119" s="18" t="s">
        <v>90</v>
      </c>
    </row>
    <row r="120" spans="1:8" x14ac:dyDescent="0.25">
      <c r="A120" s="18" t="s">
        <v>1</v>
      </c>
      <c r="B120" t="s">
        <v>405</v>
      </c>
      <c r="C120" s="18" t="s">
        <v>49</v>
      </c>
      <c r="D120" s="18" t="s">
        <v>50</v>
      </c>
      <c r="E120" s="1" t="s">
        <v>262</v>
      </c>
      <c r="H120" s="18" t="s">
        <v>90</v>
      </c>
    </row>
    <row r="121" spans="1:8" x14ac:dyDescent="0.25">
      <c r="A121" s="18" t="s">
        <v>1</v>
      </c>
      <c r="B121" t="s">
        <v>406</v>
      </c>
      <c r="C121" s="18" t="s">
        <v>49</v>
      </c>
      <c r="D121" s="18" t="s">
        <v>50</v>
      </c>
      <c r="E121" s="1" t="s">
        <v>262</v>
      </c>
      <c r="H121" s="18" t="s">
        <v>90</v>
      </c>
    </row>
    <row r="122" spans="1:8" x14ac:dyDescent="0.25">
      <c r="A122" s="18" t="s">
        <v>1</v>
      </c>
      <c r="B122" t="s">
        <v>407</v>
      </c>
      <c r="C122" s="18" t="s">
        <v>49</v>
      </c>
      <c r="D122" s="18" t="s">
        <v>50</v>
      </c>
      <c r="E122" s="1" t="s">
        <v>262</v>
      </c>
      <c r="H122" s="18" t="s">
        <v>90</v>
      </c>
    </row>
    <row r="123" spans="1:8" x14ac:dyDescent="0.25">
      <c r="A123" s="18" t="s">
        <v>1</v>
      </c>
      <c r="B123" t="s">
        <v>408</v>
      </c>
      <c r="C123" s="18" t="s">
        <v>49</v>
      </c>
      <c r="D123" s="18" t="s">
        <v>50</v>
      </c>
      <c r="E123" s="1" t="s">
        <v>262</v>
      </c>
      <c r="H123" s="18" t="s">
        <v>90</v>
      </c>
    </row>
    <row r="124" spans="1:8" x14ac:dyDescent="0.25">
      <c r="A124" s="18" t="s">
        <v>1</v>
      </c>
      <c r="B124" t="s">
        <v>409</v>
      </c>
      <c r="C124" s="18" t="s">
        <v>49</v>
      </c>
      <c r="D124" s="18" t="s">
        <v>50</v>
      </c>
      <c r="E124" s="1" t="s">
        <v>262</v>
      </c>
      <c r="H124" s="18" t="s">
        <v>90</v>
      </c>
    </row>
    <row r="125" spans="1:8" x14ac:dyDescent="0.25">
      <c r="A125" s="18" t="s">
        <v>1</v>
      </c>
      <c r="B125" t="s">
        <v>410</v>
      </c>
      <c r="C125" s="18" t="s">
        <v>49</v>
      </c>
      <c r="D125" s="18" t="s">
        <v>50</v>
      </c>
      <c r="E125" s="1" t="s">
        <v>262</v>
      </c>
      <c r="H125" s="18" t="s">
        <v>90</v>
      </c>
    </row>
    <row r="126" spans="1:8" x14ac:dyDescent="0.25">
      <c r="A126" s="18" t="s">
        <v>1</v>
      </c>
      <c r="B126" t="s">
        <v>411</v>
      </c>
      <c r="C126" s="18" t="s">
        <v>49</v>
      </c>
      <c r="D126" s="18" t="s">
        <v>50</v>
      </c>
      <c r="E126" s="1" t="s">
        <v>263</v>
      </c>
      <c r="H126" s="18" t="s">
        <v>90</v>
      </c>
    </row>
    <row r="127" spans="1:8" x14ac:dyDescent="0.25">
      <c r="A127" s="18" t="s">
        <v>1</v>
      </c>
      <c r="B127" t="s">
        <v>412</v>
      </c>
      <c r="C127" s="18" t="s">
        <v>49</v>
      </c>
      <c r="D127" s="18" t="s">
        <v>50</v>
      </c>
      <c r="E127" s="1" t="s">
        <v>262</v>
      </c>
      <c r="H127" s="18" t="s">
        <v>90</v>
      </c>
    </row>
    <row r="128" spans="1:8" x14ac:dyDescent="0.25">
      <c r="A128" s="18" t="s">
        <v>1</v>
      </c>
      <c r="B128" t="s">
        <v>413</v>
      </c>
      <c r="C128" s="18" t="s">
        <v>49</v>
      </c>
      <c r="D128" s="18" t="s">
        <v>50</v>
      </c>
      <c r="E128" s="1" t="s">
        <v>262</v>
      </c>
      <c r="H128" s="18" t="s">
        <v>90</v>
      </c>
    </row>
    <row r="129" spans="1:8" x14ac:dyDescent="0.25">
      <c r="A129" s="18" t="s">
        <v>1</v>
      </c>
      <c r="B129" t="s">
        <v>414</v>
      </c>
      <c r="C129" s="18" t="s">
        <v>49</v>
      </c>
      <c r="D129" s="18" t="s">
        <v>50</v>
      </c>
      <c r="E129" s="1" t="s">
        <v>262</v>
      </c>
      <c r="H129" s="18" t="s">
        <v>90</v>
      </c>
    </row>
    <row r="130" spans="1:8" x14ac:dyDescent="0.25">
      <c r="A130" s="18" t="s">
        <v>1</v>
      </c>
      <c r="B130" t="s">
        <v>415</v>
      </c>
      <c r="C130" s="18" t="s">
        <v>49</v>
      </c>
      <c r="D130" s="18" t="s">
        <v>50</v>
      </c>
      <c r="E130" s="1" t="s">
        <v>263</v>
      </c>
      <c r="H130" s="18" t="s">
        <v>90</v>
      </c>
    </row>
    <row r="131" spans="1:8" x14ac:dyDescent="0.25">
      <c r="A131" s="18" t="s">
        <v>1</v>
      </c>
      <c r="B131" t="s">
        <v>416</v>
      </c>
      <c r="C131" s="18" t="s">
        <v>49</v>
      </c>
      <c r="D131" s="18" t="s">
        <v>50</v>
      </c>
      <c r="E131" s="1" t="s">
        <v>263</v>
      </c>
      <c r="H131" s="18" t="s">
        <v>90</v>
      </c>
    </row>
    <row r="132" spans="1:8" x14ac:dyDescent="0.25">
      <c r="A132" s="18" t="s">
        <v>1</v>
      </c>
      <c r="B132" t="s">
        <v>417</v>
      </c>
      <c r="C132" s="18" t="s">
        <v>49</v>
      </c>
      <c r="D132" s="18" t="s">
        <v>50</v>
      </c>
      <c r="E132" s="1" t="s">
        <v>263</v>
      </c>
      <c r="H132" s="18" t="s">
        <v>90</v>
      </c>
    </row>
    <row r="133" spans="1:8" x14ac:dyDescent="0.25">
      <c r="A133" s="18" t="s">
        <v>1</v>
      </c>
      <c r="B133" t="s">
        <v>418</v>
      </c>
      <c r="C133" s="18" t="s">
        <v>49</v>
      </c>
      <c r="D133" s="18" t="s">
        <v>50</v>
      </c>
      <c r="E133" s="1" t="s">
        <v>263</v>
      </c>
      <c r="H133" s="18" t="s">
        <v>90</v>
      </c>
    </row>
    <row r="134" spans="1:8" x14ac:dyDescent="0.25">
      <c r="A134" s="18" t="s">
        <v>1</v>
      </c>
      <c r="B134" t="s">
        <v>419</v>
      </c>
      <c r="C134" s="18" t="s">
        <v>49</v>
      </c>
      <c r="D134" s="18" t="s">
        <v>50</v>
      </c>
      <c r="E134" s="1" t="s">
        <v>263</v>
      </c>
      <c r="H134" s="18" t="s">
        <v>90</v>
      </c>
    </row>
    <row r="135" spans="1:8" x14ac:dyDescent="0.25">
      <c r="A135" s="18" t="s">
        <v>1</v>
      </c>
      <c r="B135" t="s">
        <v>420</v>
      </c>
      <c r="C135" s="18" t="s">
        <v>49</v>
      </c>
      <c r="D135" s="18" t="s">
        <v>50</v>
      </c>
      <c r="E135" s="1" t="s">
        <v>264</v>
      </c>
      <c r="H135" s="18" t="s">
        <v>90</v>
      </c>
    </row>
    <row r="136" spans="1:8" x14ac:dyDescent="0.25">
      <c r="A136" s="18" t="s">
        <v>1</v>
      </c>
      <c r="B136" t="s">
        <v>421</v>
      </c>
      <c r="C136" s="18" t="s">
        <v>49</v>
      </c>
      <c r="D136" s="18" t="s">
        <v>50</v>
      </c>
      <c r="E136" s="1" t="s">
        <v>265</v>
      </c>
      <c r="H136" s="18" t="s">
        <v>90</v>
      </c>
    </row>
    <row r="137" spans="1:8" x14ac:dyDescent="0.25">
      <c r="A137" s="18" t="s">
        <v>1</v>
      </c>
      <c r="B137" t="s">
        <v>422</v>
      </c>
      <c r="C137" s="18" t="s">
        <v>49</v>
      </c>
      <c r="D137" s="18" t="s">
        <v>50</v>
      </c>
      <c r="E137" s="1" t="s">
        <v>265</v>
      </c>
      <c r="H137" s="18" t="s">
        <v>90</v>
      </c>
    </row>
    <row r="138" spans="1:8" x14ac:dyDescent="0.25">
      <c r="A138" s="18" t="s">
        <v>1</v>
      </c>
      <c r="B138" t="s">
        <v>423</v>
      </c>
      <c r="C138" s="18" t="s">
        <v>49</v>
      </c>
      <c r="D138" s="18" t="s">
        <v>50</v>
      </c>
      <c r="E138" s="1" t="s">
        <v>265</v>
      </c>
      <c r="H138" s="18" t="s">
        <v>90</v>
      </c>
    </row>
    <row r="139" spans="1:8" x14ac:dyDescent="0.25">
      <c r="A139" s="18" t="s">
        <v>1</v>
      </c>
      <c r="B139" t="s">
        <v>424</v>
      </c>
      <c r="C139" s="18" t="s">
        <v>49</v>
      </c>
      <c r="D139" s="18" t="s">
        <v>50</v>
      </c>
      <c r="E139" s="1" t="s">
        <v>264</v>
      </c>
      <c r="H139" s="18" t="s">
        <v>90</v>
      </c>
    </row>
    <row r="140" spans="1:8" x14ac:dyDescent="0.25">
      <c r="A140" s="18" t="s">
        <v>1</v>
      </c>
      <c r="B140" t="s">
        <v>425</v>
      </c>
      <c r="C140" s="18" t="s">
        <v>49</v>
      </c>
      <c r="D140" s="18" t="s">
        <v>50</v>
      </c>
      <c r="E140" s="1" t="s">
        <v>264</v>
      </c>
      <c r="H140" s="18" t="s">
        <v>90</v>
      </c>
    </row>
    <row r="141" spans="1:8" x14ac:dyDescent="0.25">
      <c r="A141" s="18" t="s">
        <v>1</v>
      </c>
      <c r="B141" t="s">
        <v>426</v>
      </c>
      <c r="C141" s="18" t="s">
        <v>49</v>
      </c>
      <c r="D141" s="18" t="s">
        <v>50</v>
      </c>
      <c r="E141" s="1" t="s">
        <v>264</v>
      </c>
      <c r="H141" s="18" t="s">
        <v>90</v>
      </c>
    </row>
    <row r="142" spans="1:8" x14ac:dyDescent="0.25">
      <c r="A142" s="18" t="s">
        <v>1</v>
      </c>
      <c r="B142" t="s">
        <v>427</v>
      </c>
      <c r="C142" s="18" t="s">
        <v>49</v>
      </c>
      <c r="D142" s="18" t="s">
        <v>50</v>
      </c>
      <c r="E142" s="1" t="s">
        <v>265</v>
      </c>
      <c r="H142" s="18" t="s">
        <v>90</v>
      </c>
    </row>
    <row r="143" spans="1:8" x14ac:dyDescent="0.25">
      <c r="A143" s="18" t="s">
        <v>1</v>
      </c>
      <c r="B143" t="s">
        <v>428</v>
      </c>
      <c r="C143" s="18" t="s">
        <v>49</v>
      </c>
      <c r="D143" s="18" t="s">
        <v>50</v>
      </c>
      <c r="E143" s="1" t="s">
        <v>262</v>
      </c>
      <c r="H143" s="18" t="s">
        <v>90</v>
      </c>
    </row>
    <row r="144" spans="1:8" x14ac:dyDescent="0.25">
      <c r="A144" s="18" t="s">
        <v>1</v>
      </c>
      <c r="B144" t="s">
        <v>429</v>
      </c>
      <c r="C144" s="18" t="s">
        <v>49</v>
      </c>
      <c r="D144" s="18" t="s">
        <v>50</v>
      </c>
      <c r="E144" s="1" t="s">
        <v>262</v>
      </c>
      <c r="H144" s="18" t="s">
        <v>90</v>
      </c>
    </row>
    <row r="145" spans="1:8" x14ac:dyDescent="0.25">
      <c r="A145" s="18" t="s">
        <v>1</v>
      </c>
      <c r="B145" t="s">
        <v>430</v>
      </c>
      <c r="C145" s="18" t="s">
        <v>49</v>
      </c>
      <c r="D145" s="18" t="s">
        <v>50</v>
      </c>
      <c r="E145" s="1" t="s">
        <v>262</v>
      </c>
      <c r="H145" s="18" t="s">
        <v>90</v>
      </c>
    </row>
    <row r="146" spans="1:8" x14ac:dyDescent="0.25">
      <c r="A146" s="18" t="s">
        <v>1</v>
      </c>
      <c r="B146" t="s">
        <v>431</v>
      </c>
      <c r="C146" s="18" t="s">
        <v>49</v>
      </c>
      <c r="D146" s="18" t="s">
        <v>50</v>
      </c>
      <c r="E146" s="1" t="s">
        <v>474</v>
      </c>
      <c r="H146" s="18" t="s">
        <v>90</v>
      </c>
    </row>
    <row r="147" spans="1:8" x14ac:dyDescent="0.25">
      <c r="A147" s="18" t="s">
        <v>1</v>
      </c>
      <c r="B147" t="s">
        <v>432</v>
      </c>
      <c r="C147" s="18" t="s">
        <v>49</v>
      </c>
      <c r="D147" s="18" t="s">
        <v>50</v>
      </c>
      <c r="E147" s="1" t="s">
        <v>474</v>
      </c>
      <c r="H147" s="18" t="s">
        <v>90</v>
      </c>
    </row>
    <row r="148" spans="1:8" x14ac:dyDescent="0.25">
      <c r="A148" s="18" t="s">
        <v>1</v>
      </c>
      <c r="B148" t="s">
        <v>433</v>
      </c>
      <c r="C148" s="18" t="s">
        <v>49</v>
      </c>
      <c r="D148" s="18" t="s">
        <v>50</v>
      </c>
      <c r="E148" s="1" t="s">
        <v>262</v>
      </c>
      <c r="H148" s="18" t="s">
        <v>90</v>
      </c>
    </row>
    <row r="149" spans="1:8" x14ac:dyDescent="0.25">
      <c r="A149" s="18" t="s">
        <v>1</v>
      </c>
      <c r="B149" t="s">
        <v>434</v>
      </c>
      <c r="C149" s="18" t="s">
        <v>49</v>
      </c>
      <c r="D149" s="18" t="s">
        <v>50</v>
      </c>
      <c r="E149" s="1" t="s">
        <v>262</v>
      </c>
      <c r="H149" s="18" t="s">
        <v>90</v>
      </c>
    </row>
    <row r="150" spans="1:8" x14ac:dyDescent="0.25">
      <c r="A150" s="18" t="s">
        <v>1</v>
      </c>
      <c r="B150" t="s">
        <v>435</v>
      </c>
      <c r="C150" s="18" t="s">
        <v>49</v>
      </c>
      <c r="D150" s="18" t="s">
        <v>50</v>
      </c>
      <c r="E150" s="1" t="s">
        <v>262</v>
      </c>
      <c r="H150" s="18" t="s">
        <v>90</v>
      </c>
    </row>
    <row r="151" spans="1:8" x14ac:dyDescent="0.25">
      <c r="A151" s="18" t="s">
        <v>1</v>
      </c>
      <c r="B151" t="s">
        <v>436</v>
      </c>
      <c r="C151" s="18" t="s">
        <v>49</v>
      </c>
      <c r="D151" s="18" t="s">
        <v>50</v>
      </c>
      <c r="E151" s="1" t="s">
        <v>475</v>
      </c>
      <c r="H151" s="18" t="s">
        <v>90</v>
      </c>
    </row>
    <row r="152" spans="1:8" x14ac:dyDescent="0.25">
      <c r="A152" s="18" t="s">
        <v>1</v>
      </c>
      <c r="B152" t="s">
        <v>437</v>
      </c>
      <c r="C152" s="18" t="s">
        <v>49</v>
      </c>
      <c r="D152" s="18" t="s">
        <v>50</v>
      </c>
      <c r="E152" s="1" t="s">
        <v>279</v>
      </c>
      <c r="H152" s="18" t="s">
        <v>90</v>
      </c>
    </row>
    <row r="153" spans="1:8" x14ac:dyDescent="0.25">
      <c r="A153" s="18" t="s">
        <v>1</v>
      </c>
      <c r="B153" t="s">
        <v>438</v>
      </c>
      <c r="C153" s="18" t="s">
        <v>49</v>
      </c>
      <c r="D153" s="18" t="s">
        <v>50</v>
      </c>
      <c r="E153" s="1" t="s">
        <v>263</v>
      </c>
      <c r="H153" s="18" t="s">
        <v>90</v>
      </c>
    </row>
    <row r="154" spans="1:8" x14ac:dyDescent="0.25">
      <c r="A154" s="18" t="s">
        <v>1</v>
      </c>
      <c r="B154" t="s">
        <v>439</v>
      </c>
      <c r="C154" s="18" t="s">
        <v>49</v>
      </c>
      <c r="D154" s="18" t="s">
        <v>50</v>
      </c>
      <c r="E154" s="1"/>
      <c r="H154" s="18" t="s">
        <v>90</v>
      </c>
    </row>
    <row r="155" spans="1:8" x14ac:dyDescent="0.25">
      <c r="A155" s="18" t="s">
        <v>1</v>
      </c>
      <c r="B155" t="s">
        <v>440</v>
      </c>
      <c r="C155" s="18" t="s">
        <v>49</v>
      </c>
      <c r="D155" s="18" t="s">
        <v>50</v>
      </c>
      <c r="H155" s="18" t="s">
        <v>90</v>
      </c>
    </row>
    <row r="156" spans="1:8" x14ac:dyDescent="0.25">
      <c r="A156" s="18" t="s">
        <v>1</v>
      </c>
      <c r="B156" t="s">
        <v>441</v>
      </c>
      <c r="C156" s="18" t="s">
        <v>49</v>
      </c>
      <c r="D156" s="18" t="s">
        <v>50</v>
      </c>
      <c r="E156" s="1" t="s">
        <v>263</v>
      </c>
      <c r="H156" s="18" t="s">
        <v>90</v>
      </c>
    </row>
    <row r="157" spans="1:8" x14ac:dyDescent="0.25">
      <c r="A157" s="18" t="s">
        <v>1</v>
      </c>
      <c r="B157" t="s">
        <v>442</v>
      </c>
      <c r="C157" s="18" t="s">
        <v>49</v>
      </c>
      <c r="D157" s="18" t="s">
        <v>50</v>
      </c>
      <c r="E157" s="1" t="s">
        <v>263</v>
      </c>
      <c r="H157" s="18" t="s">
        <v>90</v>
      </c>
    </row>
    <row r="158" spans="1:8" x14ac:dyDescent="0.25">
      <c r="A158" s="18" t="s">
        <v>1</v>
      </c>
      <c r="B158" t="s">
        <v>443</v>
      </c>
      <c r="C158" s="18" t="s">
        <v>49</v>
      </c>
      <c r="D158" s="18" t="s">
        <v>50</v>
      </c>
      <c r="E158" s="1" t="s">
        <v>263</v>
      </c>
      <c r="H158" s="18" t="s">
        <v>90</v>
      </c>
    </row>
    <row r="159" spans="1:8" x14ac:dyDescent="0.25">
      <c r="A159" s="18" t="s">
        <v>1</v>
      </c>
      <c r="B159" t="s">
        <v>444</v>
      </c>
      <c r="C159" s="18" t="s">
        <v>49</v>
      </c>
      <c r="D159" s="18" t="s">
        <v>50</v>
      </c>
      <c r="E159" s="1" t="s">
        <v>279</v>
      </c>
      <c r="H159" s="18" t="s">
        <v>90</v>
      </c>
    </row>
    <row r="160" spans="1:8" x14ac:dyDescent="0.25">
      <c r="A160" s="18" t="s">
        <v>1</v>
      </c>
      <c r="B160" t="s">
        <v>445</v>
      </c>
      <c r="C160" s="18" t="s">
        <v>49</v>
      </c>
      <c r="D160" s="18" t="s">
        <v>50</v>
      </c>
      <c r="E160" s="1" t="s">
        <v>262</v>
      </c>
      <c r="H160" s="18" t="s">
        <v>90</v>
      </c>
    </row>
    <row r="161" spans="1:8" x14ac:dyDescent="0.25">
      <c r="A161" s="18" t="s">
        <v>1</v>
      </c>
      <c r="B161" t="s">
        <v>446</v>
      </c>
      <c r="C161" s="18" t="s">
        <v>49</v>
      </c>
      <c r="D161" s="18" t="s">
        <v>50</v>
      </c>
      <c r="E161" s="1" t="s">
        <v>262</v>
      </c>
      <c r="H161" s="18" t="s">
        <v>90</v>
      </c>
    </row>
    <row r="162" spans="1:8" x14ac:dyDescent="0.25">
      <c r="A162" s="18" t="s">
        <v>1</v>
      </c>
      <c r="B162" t="s">
        <v>447</v>
      </c>
      <c r="C162" s="18" t="s">
        <v>49</v>
      </c>
      <c r="D162" s="18" t="s">
        <v>50</v>
      </c>
      <c r="E162" s="1" t="s">
        <v>262</v>
      </c>
      <c r="H162" s="18" t="s">
        <v>90</v>
      </c>
    </row>
    <row r="163" spans="1:8" x14ac:dyDescent="0.25">
      <c r="A163" s="18" t="s">
        <v>1</v>
      </c>
      <c r="B163" t="s">
        <v>448</v>
      </c>
      <c r="C163" s="18" t="s">
        <v>49</v>
      </c>
      <c r="D163" s="18" t="s">
        <v>50</v>
      </c>
      <c r="E163" s="1" t="s">
        <v>262</v>
      </c>
      <c r="H163" s="18" t="s">
        <v>90</v>
      </c>
    </row>
    <row r="164" spans="1:8" x14ac:dyDescent="0.25">
      <c r="A164" s="18" t="s">
        <v>1</v>
      </c>
      <c r="B164" t="s">
        <v>449</v>
      </c>
      <c r="C164" s="18" t="s">
        <v>49</v>
      </c>
      <c r="D164" s="18" t="s">
        <v>50</v>
      </c>
      <c r="E164" s="1" t="s">
        <v>262</v>
      </c>
      <c r="H164" s="18" t="s">
        <v>90</v>
      </c>
    </row>
    <row r="165" spans="1:8" x14ac:dyDescent="0.25">
      <c r="A165" s="18" t="s">
        <v>1</v>
      </c>
      <c r="B165" t="s">
        <v>450</v>
      </c>
      <c r="C165" s="18" t="s">
        <v>49</v>
      </c>
      <c r="D165" s="18" t="s">
        <v>50</v>
      </c>
      <c r="E165" s="1" t="s">
        <v>262</v>
      </c>
      <c r="H165" s="18" t="s">
        <v>90</v>
      </c>
    </row>
    <row r="166" spans="1:8" x14ac:dyDescent="0.25">
      <c r="A166" s="18" t="s">
        <v>1</v>
      </c>
      <c r="B166" t="s">
        <v>451</v>
      </c>
      <c r="C166" s="18" t="s">
        <v>49</v>
      </c>
      <c r="D166" s="18" t="s">
        <v>50</v>
      </c>
      <c r="E166" s="1" t="s">
        <v>262</v>
      </c>
      <c r="H166" s="18" t="s">
        <v>90</v>
      </c>
    </row>
    <row r="167" spans="1:8" x14ac:dyDescent="0.25">
      <c r="A167" s="18" t="s">
        <v>1</v>
      </c>
      <c r="B167" t="s">
        <v>452</v>
      </c>
      <c r="C167" s="18" t="s">
        <v>49</v>
      </c>
      <c r="D167" s="18" t="s">
        <v>50</v>
      </c>
      <c r="E167" s="1" t="s">
        <v>262</v>
      </c>
      <c r="H167" s="18" t="s">
        <v>90</v>
      </c>
    </row>
    <row r="168" spans="1:8" x14ac:dyDescent="0.25">
      <c r="A168" s="18" t="s">
        <v>1</v>
      </c>
      <c r="B168" t="s">
        <v>453</v>
      </c>
      <c r="C168" s="18" t="s">
        <v>49</v>
      </c>
      <c r="D168" s="18" t="s">
        <v>50</v>
      </c>
      <c r="E168" s="1" t="s">
        <v>262</v>
      </c>
      <c r="H168" s="18" t="s">
        <v>90</v>
      </c>
    </row>
    <row r="169" spans="1:8" x14ac:dyDescent="0.25">
      <c r="A169" s="18" t="s">
        <v>1</v>
      </c>
      <c r="B169" t="s">
        <v>454</v>
      </c>
      <c r="C169" s="18" t="s">
        <v>49</v>
      </c>
      <c r="D169" s="18" t="s">
        <v>50</v>
      </c>
      <c r="E169" s="1" t="s">
        <v>262</v>
      </c>
      <c r="H169" s="18" t="s">
        <v>90</v>
      </c>
    </row>
    <row r="170" spans="1:8" x14ac:dyDescent="0.25">
      <c r="A170" s="18" t="s">
        <v>1</v>
      </c>
      <c r="B170" t="s">
        <v>455</v>
      </c>
      <c r="C170" s="18" t="s">
        <v>49</v>
      </c>
      <c r="D170" s="18" t="s">
        <v>50</v>
      </c>
      <c r="E170" s="1" t="s">
        <v>262</v>
      </c>
      <c r="H170" s="18" t="s">
        <v>90</v>
      </c>
    </row>
    <row r="171" spans="1:8" x14ac:dyDescent="0.25">
      <c r="A171" s="18" t="s">
        <v>1</v>
      </c>
      <c r="B171" t="s">
        <v>456</v>
      </c>
      <c r="C171" s="18" t="s">
        <v>49</v>
      </c>
      <c r="D171" s="18" t="s">
        <v>50</v>
      </c>
      <c r="E171" s="1" t="s">
        <v>262</v>
      </c>
      <c r="H171" s="18" t="s">
        <v>90</v>
      </c>
    </row>
    <row r="172" spans="1:8" x14ac:dyDescent="0.25">
      <c r="A172" s="18" t="s">
        <v>1</v>
      </c>
      <c r="B172" t="s">
        <v>457</v>
      </c>
      <c r="C172" s="18" t="s">
        <v>49</v>
      </c>
      <c r="D172" s="18" t="s">
        <v>50</v>
      </c>
      <c r="E172" s="1" t="s">
        <v>264</v>
      </c>
      <c r="H172" s="18" t="s">
        <v>90</v>
      </c>
    </row>
    <row r="173" spans="1:8" x14ac:dyDescent="0.25">
      <c r="A173" s="18" t="s">
        <v>1</v>
      </c>
      <c r="B173" t="s">
        <v>458</v>
      </c>
      <c r="C173" s="18" t="s">
        <v>49</v>
      </c>
      <c r="D173" s="18" t="s">
        <v>50</v>
      </c>
      <c r="E173" s="1" t="s">
        <v>264</v>
      </c>
      <c r="H173" s="18" t="s">
        <v>90</v>
      </c>
    </row>
    <row r="174" spans="1:8" x14ac:dyDescent="0.25">
      <c r="A174" s="18" t="s">
        <v>1</v>
      </c>
      <c r="B174" t="s">
        <v>459</v>
      </c>
      <c r="C174" s="18" t="s">
        <v>49</v>
      </c>
      <c r="D174" s="18" t="s">
        <v>50</v>
      </c>
      <c r="E174" s="1" t="s">
        <v>262</v>
      </c>
      <c r="H174" s="18" t="s">
        <v>90</v>
      </c>
    </row>
    <row r="175" spans="1:8" x14ac:dyDescent="0.25">
      <c r="A175" s="18" t="s">
        <v>1</v>
      </c>
      <c r="B175" t="s">
        <v>460</v>
      </c>
      <c r="C175" s="18" t="s">
        <v>49</v>
      </c>
      <c r="D175" s="18" t="s">
        <v>50</v>
      </c>
      <c r="E175" s="1" t="s">
        <v>262</v>
      </c>
      <c r="H175" s="18" t="s">
        <v>90</v>
      </c>
    </row>
    <row r="176" spans="1:8" x14ac:dyDescent="0.25">
      <c r="A176" s="18" t="s">
        <v>1</v>
      </c>
      <c r="B176" t="s">
        <v>461</v>
      </c>
      <c r="C176" s="18" t="s">
        <v>49</v>
      </c>
      <c r="D176" s="18" t="s">
        <v>50</v>
      </c>
      <c r="E176" s="1" t="s">
        <v>262</v>
      </c>
      <c r="H176" s="18" t="s">
        <v>90</v>
      </c>
    </row>
    <row r="177" spans="1:8" x14ac:dyDescent="0.25">
      <c r="A177" s="18" t="s">
        <v>1</v>
      </c>
      <c r="B177" t="s">
        <v>462</v>
      </c>
      <c r="C177" s="18" t="s">
        <v>49</v>
      </c>
      <c r="D177" s="18" t="s">
        <v>50</v>
      </c>
      <c r="E177" s="1" t="s">
        <v>264</v>
      </c>
      <c r="H177" s="18" t="s">
        <v>90</v>
      </c>
    </row>
    <row r="178" spans="1:8" x14ac:dyDescent="0.25">
      <c r="A178" s="18" t="s">
        <v>1</v>
      </c>
      <c r="B178" t="s">
        <v>463</v>
      </c>
      <c r="C178" s="18" t="s">
        <v>49</v>
      </c>
      <c r="D178" s="18" t="s">
        <v>50</v>
      </c>
      <c r="E178" s="1" t="s">
        <v>264</v>
      </c>
      <c r="H178" s="18" t="s">
        <v>90</v>
      </c>
    </row>
    <row r="179" spans="1:8" x14ac:dyDescent="0.25">
      <c r="A179" s="18" t="s">
        <v>1</v>
      </c>
      <c r="B179" t="s">
        <v>464</v>
      </c>
      <c r="C179" s="18" t="s">
        <v>49</v>
      </c>
      <c r="D179" s="18" t="s">
        <v>50</v>
      </c>
      <c r="E179" s="1" t="s">
        <v>264</v>
      </c>
      <c r="H179" s="18" t="s">
        <v>90</v>
      </c>
    </row>
    <row r="180" spans="1:8" x14ac:dyDescent="0.25">
      <c r="A180" s="18" t="s">
        <v>1</v>
      </c>
      <c r="B180" t="s">
        <v>465</v>
      </c>
      <c r="C180" s="18" t="s">
        <v>49</v>
      </c>
      <c r="D180" s="18" t="s">
        <v>50</v>
      </c>
      <c r="E180" s="1" t="s">
        <v>263</v>
      </c>
      <c r="H180" s="18" t="s">
        <v>90</v>
      </c>
    </row>
    <row r="181" spans="1:8" x14ac:dyDescent="0.25">
      <c r="A181" s="18" t="s">
        <v>1</v>
      </c>
      <c r="B181" t="s">
        <v>466</v>
      </c>
      <c r="C181" s="18" t="s">
        <v>49</v>
      </c>
      <c r="D181" s="18" t="s">
        <v>50</v>
      </c>
      <c r="E181" s="1" t="s">
        <v>263</v>
      </c>
      <c r="H181" s="18" t="s">
        <v>90</v>
      </c>
    </row>
    <row r="182" spans="1:8" x14ac:dyDescent="0.25">
      <c r="A182" s="18" t="s">
        <v>1</v>
      </c>
      <c r="B182" t="s">
        <v>467</v>
      </c>
      <c r="C182" s="18" t="s">
        <v>49</v>
      </c>
      <c r="D182" s="18" t="s">
        <v>50</v>
      </c>
      <c r="E182" s="1" t="s">
        <v>263</v>
      </c>
      <c r="H182" s="18" t="s">
        <v>90</v>
      </c>
    </row>
    <row r="183" spans="1:8" x14ac:dyDescent="0.25">
      <c r="A183" s="18" t="s">
        <v>1</v>
      </c>
      <c r="B183" t="s">
        <v>468</v>
      </c>
      <c r="C183" s="18" t="s">
        <v>49</v>
      </c>
      <c r="D183" s="18" t="s">
        <v>50</v>
      </c>
      <c r="E183" s="1" t="s">
        <v>263</v>
      </c>
      <c r="H183" s="18" t="s">
        <v>90</v>
      </c>
    </row>
    <row r="184" spans="1:8" x14ac:dyDescent="0.25">
      <c r="A184" s="18" t="s">
        <v>1</v>
      </c>
      <c r="B184" t="s">
        <v>469</v>
      </c>
      <c r="C184" s="18" t="s">
        <v>49</v>
      </c>
      <c r="D184" s="18" t="s">
        <v>50</v>
      </c>
      <c r="E184" s="1" t="s">
        <v>262</v>
      </c>
      <c r="H184" s="18" t="s">
        <v>90</v>
      </c>
    </row>
    <row r="185" spans="1:8" x14ac:dyDescent="0.25">
      <c r="A185" s="18" t="s">
        <v>1</v>
      </c>
      <c r="B185" t="s">
        <v>470</v>
      </c>
      <c r="C185" s="18" t="s">
        <v>49</v>
      </c>
      <c r="D185" s="18" t="s">
        <v>50</v>
      </c>
      <c r="E185" s="1" t="s">
        <v>263</v>
      </c>
      <c r="H185" s="18" t="s">
        <v>90</v>
      </c>
    </row>
    <row r="186" spans="1:8" x14ac:dyDescent="0.25">
      <c r="A186" s="18" t="s">
        <v>1</v>
      </c>
      <c r="B186" t="s">
        <v>471</v>
      </c>
      <c r="C186" s="18" t="s">
        <v>49</v>
      </c>
      <c r="D186" s="18" t="s">
        <v>50</v>
      </c>
      <c r="E186" s="1" t="s">
        <v>263</v>
      </c>
      <c r="H186" s="18" t="s">
        <v>90</v>
      </c>
    </row>
    <row r="187" spans="1:8" x14ac:dyDescent="0.25">
      <c r="A187" s="18" t="s">
        <v>1</v>
      </c>
      <c r="B187" t="s">
        <v>472</v>
      </c>
      <c r="C187" s="18" t="s">
        <v>49</v>
      </c>
      <c r="D187" s="18" t="s">
        <v>50</v>
      </c>
      <c r="E187" s="1" t="s">
        <v>263</v>
      </c>
      <c r="H187" s="18" t="s">
        <v>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1D9-441C-427A-A91C-9F68C0358502}">
  <dimension ref="A1:AC140"/>
  <sheetViews>
    <sheetView tabSelected="1" topLeftCell="A124" workbookViewId="0">
      <selection activeCell="E143" sqref="E143"/>
    </sheetView>
  </sheetViews>
  <sheetFormatPr defaultRowHeight="15" x14ac:dyDescent="0.25"/>
  <cols>
    <col min="1" max="1" width="13.7109375" customWidth="1"/>
    <col min="2" max="2" width="14" customWidth="1"/>
    <col min="3" max="3" width="14.42578125" customWidth="1"/>
    <col min="4" max="4" width="15.5703125" customWidth="1"/>
    <col min="5" max="5" width="64.85546875" bestFit="1" customWidth="1"/>
    <col min="6" max="6" width="12.7109375" customWidth="1"/>
    <col min="7" max="7" width="22.85546875" customWidth="1"/>
    <col min="8" max="8" width="20.5703125" customWidth="1"/>
    <col min="9" max="9" width="36.85546875" bestFit="1" customWidth="1"/>
    <col min="10" max="10" width="15" customWidth="1"/>
    <col min="11" max="11" width="18" customWidth="1"/>
    <col min="12" max="12" width="21.42578125" customWidth="1"/>
    <col min="13" max="13" width="19.85546875" customWidth="1"/>
    <col min="14" max="14" width="17.5703125" customWidth="1"/>
    <col min="15" max="15" width="20" customWidth="1"/>
    <col min="16" max="16" width="19" customWidth="1"/>
    <col min="17" max="17" width="17" customWidth="1"/>
    <col min="18" max="18" width="18.85546875" customWidth="1"/>
    <col min="19" max="19" width="18" customWidth="1"/>
    <col min="20" max="20" width="19.28515625" customWidth="1"/>
    <col min="21" max="21" width="18" customWidth="1"/>
    <col min="22" max="22" width="14.28515625" customWidth="1"/>
    <col min="23" max="23" width="15.28515625" customWidth="1"/>
    <col min="24" max="25" width="17.85546875" customWidth="1"/>
    <col min="26" max="29" width="16.140625" customWidth="1"/>
  </cols>
  <sheetData>
    <row r="1" spans="1:29" s="1" customFormat="1" ht="38.25" x14ac:dyDescent="0.25">
      <c r="A1" s="2" t="s">
        <v>2</v>
      </c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3" t="s">
        <v>9</v>
      </c>
      <c r="I1" s="14" t="s">
        <v>10</v>
      </c>
      <c r="J1" s="3" t="s">
        <v>11</v>
      </c>
      <c r="K1" s="3" t="s">
        <v>12</v>
      </c>
      <c r="L1" s="3" t="s">
        <v>13</v>
      </c>
      <c r="M1" s="3" t="s">
        <v>14</v>
      </c>
      <c r="N1" s="3" t="s">
        <v>15</v>
      </c>
      <c r="O1" s="3" t="s">
        <v>16</v>
      </c>
      <c r="P1" s="3" t="s">
        <v>17</v>
      </c>
      <c r="Q1" s="3" t="s">
        <v>18</v>
      </c>
      <c r="R1" s="3" t="s">
        <v>19</v>
      </c>
      <c r="S1" s="2" t="s">
        <v>20</v>
      </c>
      <c r="T1" s="2" t="s">
        <v>21</v>
      </c>
      <c r="U1" s="2" t="s">
        <v>22</v>
      </c>
      <c r="V1" s="2" t="s">
        <v>23</v>
      </c>
      <c r="W1" s="2" t="s">
        <v>24</v>
      </c>
      <c r="X1" s="2" t="s">
        <v>25</v>
      </c>
      <c r="Y1" s="2" t="s">
        <v>26</v>
      </c>
      <c r="Z1" s="4" t="s">
        <v>27</v>
      </c>
      <c r="AA1" s="4" t="s">
        <v>28</v>
      </c>
      <c r="AB1" s="4" t="s">
        <v>29</v>
      </c>
      <c r="AC1" s="4" t="s">
        <v>30</v>
      </c>
    </row>
    <row r="2" spans="1:29" x14ac:dyDescent="0.25">
      <c r="A2" s="18" t="s">
        <v>33</v>
      </c>
      <c r="C2" t="s">
        <v>565</v>
      </c>
      <c r="D2" s="18" t="s">
        <v>50</v>
      </c>
      <c r="E2" t="s">
        <v>476</v>
      </c>
      <c r="F2" s="18" t="s">
        <v>497</v>
      </c>
      <c r="H2" s="18" t="s">
        <v>55</v>
      </c>
      <c r="I2" t="s">
        <v>477</v>
      </c>
      <c r="J2" t="s">
        <v>478</v>
      </c>
    </row>
    <row r="3" spans="1:29" x14ac:dyDescent="0.25">
      <c r="A3" s="18" t="s">
        <v>33</v>
      </c>
      <c r="C3" t="s">
        <v>565</v>
      </c>
      <c r="D3" s="18" t="s">
        <v>50</v>
      </c>
      <c r="E3" t="s">
        <v>476</v>
      </c>
      <c r="F3" s="18" t="s">
        <v>497</v>
      </c>
      <c r="H3" s="18" t="s">
        <v>55</v>
      </c>
      <c r="I3" t="s">
        <v>477</v>
      </c>
      <c r="J3" t="s">
        <v>479</v>
      </c>
    </row>
    <row r="4" spans="1:29" x14ac:dyDescent="0.25">
      <c r="A4" s="18" t="s">
        <v>33</v>
      </c>
      <c r="C4" t="s">
        <v>565</v>
      </c>
      <c r="D4" s="18" t="s">
        <v>50</v>
      </c>
      <c r="E4" t="s">
        <v>476</v>
      </c>
      <c r="F4" s="18" t="s">
        <v>497</v>
      </c>
      <c r="H4" s="18" t="s">
        <v>55</v>
      </c>
      <c r="I4" t="s">
        <v>477</v>
      </c>
      <c r="J4" t="s">
        <v>480</v>
      </c>
    </row>
    <row r="5" spans="1:29" x14ac:dyDescent="0.25">
      <c r="A5" s="18" t="s">
        <v>33</v>
      </c>
      <c r="C5" t="s">
        <v>565</v>
      </c>
      <c r="D5" s="18" t="s">
        <v>50</v>
      </c>
      <c r="E5" t="s">
        <v>476</v>
      </c>
      <c r="F5" s="18" t="s">
        <v>497</v>
      </c>
      <c r="H5" s="18" t="s">
        <v>55</v>
      </c>
      <c r="I5" t="s">
        <v>477</v>
      </c>
      <c r="J5" t="s">
        <v>481</v>
      </c>
    </row>
    <row r="6" spans="1:29" x14ac:dyDescent="0.25">
      <c r="A6" s="18" t="s">
        <v>33</v>
      </c>
      <c r="C6" t="s">
        <v>565</v>
      </c>
      <c r="D6" s="18" t="s">
        <v>50</v>
      </c>
      <c r="E6" t="s">
        <v>476</v>
      </c>
      <c r="F6" s="18" t="s">
        <v>497</v>
      </c>
      <c r="H6" s="18" t="s">
        <v>55</v>
      </c>
      <c r="I6" t="s">
        <v>477</v>
      </c>
      <c r="J6" t="s">
        <v>482</v>
      </c>
    </row>
    <row r="7" spans="1:29" x14ac:dyDescent="0.25">
      <c r="A7" s="18" t="s">
        <v>33</v>
      </c>
      <c r="C7" t="s">
        <v>565</v>
      </c>
      <c r="D7" s="18" t="s">
        <v>50</v>
      </c>
      <c r="E7" t="s">
        <v>476</v>
      </c>
      <c r="F7" s="18" t="s">
        <v>497</v>
      </c>
      <c r="H7" s="18" t="s">
        <v>55</v>
      </c>
      <c r="I7" t="s">
        <v>477</v>
      </c>
      <c r="J7" t="s">
        <v>483</v>
      </c>
    </row>
    <row r="8" spans="1:29" x14ac:dyDescent="0.25">
      <c r="A8" s="18" t="s">
        <v>33</v>
      </c>
      <c r="C8" t="s">
        <v>565</v>
      </c>
      <c r="D8" s="18" t="s">
        <v>50</v>
      </c>
      <c r="E8" t="s">
        <v>476</v>
      </c>
      <c r="F8" s="18" t="s">
        <v>497</v>
      </c>
      <c r="H8" s="18" t="s">
        <v>55</v>
      </c>
      <c r="I8" t="s">
        <v>477</v>
      </c>
      <c r="J8" t="s">
        <v>484</v>
      </c>
    </row>
    <row r="9" spans="1:29" x14ac:dyDescent="0.25">
      <c r="A9" s="18" t="s">
        <v>33</v>
      </c>
      <c r="C9" t="s">
        <v>565</v>
      </c>
      <c r="D9" s="18" t="s">
        <v>50</v>
      </c>
      <c r="E9" t="s">
        <v>476</v>
      </c>
      <c r="F9" s="18" t="s">
        <v>497</v>
      </c>
      <c r="H9" s="18" t="s">
        <v>55</v>
      </c>
      <c r="I9" t="s">
        <v>477</v>
      </c>
      <c r="J9" t="s">
        <v>485</v>
      </c>
    </row>
    <row r="10" spans="1:29" x14ac:dyDescent="0.25">
      <c r="A10" s="18" t="s">
        <v>33</v>
      </c>
      <c r="C10" t="s">
        <v>565</v>
      </c>
      <c r="D10" s="18" t="s">
        <v>50</v>
      </c>
      <c r="E10" t="s">
        <v>476</v>
      </c>
      <c r="F10" s="18" t="s">
        <v>497</v>
      </c>
      <c r="H10" s="18" t="s">
        <v>55</v>
      </c>
      <c r="I10" t="s">
        <v>477</v>
      </c>
      <c r="J10" t="s">
        <v>486</v>
      </c>
    </row>
    <row r="11" spans="1:29" x14ac:dyDescent="0.25">
      <c r="A11" s="18" t="s">
        <v>33</v>
      </c>
      <c r="C11" t="s">
        <v>565</v>
      </c>
      <c r="D11" s="18" t="s">
        <v>50</v>
      </c>
      <c r="E11" t="s">
        <v>476</v>
      </c>
      <c r="F11" s="18" t="s">
        <v>497</v>
      </c>
      <c r="H11" s="18" t="s">
        <v>55</v>
      </c>
      <c r="I11" t="s">
        <v>477</v>
      </c>
      <c r="J11" t="s">
        <v>487</v>
      </c>
    </row>
    <row r="12" spans="1:29" x14ac:dyDescent="0.25">
      <c r="A12" s="18" t="s">
        <v>33</v>
      </c>
      <c r="C12" t="s">
        <v>565</v>
      </c>
      <c r="D12" s="18" t="s">
        <v>50</v>
      </c>
      <c r="E12" t="s">
        <v>476</v>
      </c>
      <c r="F12" s="18" t="s">
        <v>497</v>
      </c>
      <c r="H12" s="18" t="s">
        <v>55</v>
      </c>
      <c r="I12" t="s">
        <v>477</v>
      </c>
      <c r="J12" t="s">
        <v>488</v>
      </c>
    </row>
    <row r="13" spans="1:29" x14ac:dyDescent="0.25">
      <c r="A13" s="18" t="s">
        <v>33</v>
      </c>
      <c r="C13" t="s">
        <v>565</v>
      </c>
      <c r="D13" s="18" t="s">
        <v>50</v>
      </c>
      <c r="E13" t="s">
        <v>476</v>
      </c>
      <c r="F13" s="18" t="s">
        <v>497</v>
      </c>
      <c r="H13" s="18" t="s">
        <v>55</v>
      </c>
      <c r="I13" t="s">
        <v>477</v>
      </c>
      <c r="J13" t="s">
        <v>489</v>
      </c>
    </row>
    <row r="14" spans="1:29" x14ac:dyDescent="0.25">
      <c r="A14" s="18" t="s">
        <v>33</v>
      </c>
      <c r="C14" t="s">
        <v>565</v>
      </c>
      <c r="D14" s="18" t="s">
        <v>50</v>
      </c>
      <c r="E14" t="s">
        <v>476</v>
      </c>
      <c r="F14" s="18" t="s">
        <v>497</v>
      </c>
      <c r="H14" s="18" t="s">
        <v>55</v>
      </c>
      <c r="I14" t="s">
        <v>477</v>
      </c>
      <c r="J14" t="s">
        <v>490</v>
      </c>
    </row>
    <row r="15" spans="1:29" x14ac:dyDescent="0.25">
      <c r="A15" s="18" t="s">
        <v>33</v>
      </c>
      <c r="C15" t="s">
        <v>565</v>
      </c>
      <c r="D15" s="18" t="s">
        <v>50</v>
      </c>
      <c r="E15" t="s">
        <v>476</v>
      </c>
      <c r="F15" s="18" t="s">
        <v>497</v>
      </c>
      <c r="H15" s="18" t="s">
        <v>55</v>
      </c>
      <c r="I15" t="s">
        <v>477</v>
      </c>
      <c r="J15" t="s">
        <v>491</v>
      </c>
    </row>
    <row r="16" spans="1:29" x14ac:dyDescent="0.25">
      <c r="A16" s="18" t="s">
        <v>33</v>
      </c>
      <c r="C16" t="s">
        <v>565</v>
      </c>
      <c r="D16" s="18" t="s">
        <v>50</v>
      </c>
      <c r="E16" t="s">
        <v>476</v>
      </c>
      <c r="F16" s="18" t="s">
        <v>497</v>
      </c>
      <c r="H16" s="18" t="s">
        <v>55</v>
      </c>
      <c r="I16" t="s">
        <v>477</v>
      </c>
      <c r="J16" t="s">
        <v>492</v>
      </c>
    </row>
    <row r="17" spans="1:10" x14ac:dyDescent="0.25">
      <c r="A17" s="18" t="s">
        <v>33</v>
      </c>
      <c r="C17" t="s">
        <v>565</v>
      </c>
      <c r="D17" s="18" t="s">
        <v>50</v>
      </c>
      <c r="E17" t="s">
        <v>476</v>
      </c>
      <c r="F17" s="18" t="s">
        <v>497</v>
      </c>
      <c r="H17" s="18" t="s">
        <v>55</v>
      </c>
      <c r="I17" t="s">
        <v>477</v>
      </c>
      <c r="J17" t="s">
        <v>493</v>
      </c>
    </row>
    <row r="18" spans="1:10" x14ac:dyDescent="0.25">
      <c r="A18" s="18" t="s">
        <v>33</v>
      </c>
      <c r="C18" t="s">
        <v>565</v>
      </c>
      <c r="D18" s="18" t="s">
        <v>50</v>
      </c>
      <c r="E18" t="s">
        <v>476</v>
      </c>
      <c r="F18" s="18" t="s">
        <v>497</v>
      </c>
      <c r="H18" s="18" t="s">
        <v>55</v>
      </c>
      <c r="I18" t="s">
        <v>477</v>
      </c>
      <c r="J18" t="s">
        <v>494</v>
      </c>
    </row>
    <row r="19" spans="1:10" x14ac:dyDescent="0.25">
      <c r="A19" s="18" t="s">
        <v>33</v>
      </c>
      <c r="C19" t="s">
        <v>565</v>
      </c>
      <c r="D19" s="18" t="s">
        <v>50</v>
      </c>
      <c r="E19" t="s">
        <v>476</v>
      </c>
      <c r="F19" s="18" t="s">
        <v>497</v>
      </c>
      <c r="H19" s="18" t="s">
        <v>55</v>
      </c>
      <c r="I19" t="s">
        <v>477</v>
      </c>
      <c r="J19" t="s">
        <v>495</v>
      </c>
    </row>
    <row r="20" spans="1:10" x14ac:dyDescent="0.25">
      <c r="A20" s="18" t="s">
        <v>33</v>
      </c>
      <c r="C20" t="s">
        <v>565</v>
      </c>
      <c r="D20" s="18" t="s">
        <v>50</v>
      </c>
      <c r="E20" t="s">
        <v>476</v>
      </c>
      <c r="F20" s="18" t="s">
        <v>497</v>
      </c>
      <c r="H20" s="18" t="s">
        <v>55</v>
      </c>
      <c r="I20" t="s">
        <v>477</v>
      </c>
      <c r="J20" t="s">
        <v>496</v>
      </c>
    </row>
    <row r="21" spans="1:10" x14ac:dyDescent="0.25">
      <c r="A21" s="18" t="s">
        <v>1</v>
      </c>
      <c r="C21" t="s">
        <v>565</v>
      </c>
      <c r="D21" s="18" t="s">
        <v>50</v>
      </c>
      <c r="E21" t="s">
        <v>499</v>
      </c>
      <c r="F21" s="18" t="s">
        <v>497</v>
      </c>
      <c r="H21" s="18" t="s">
        <v>90</v>
      </c>
      <c r="I21" t="s">
        <v>498</v>
      </c>
    </row>
    <row r="22" spans="1:10" x14ac:dyDescent="0.25">
      <c r="A22" s="18" t="s">
        <v>1</v>
      </c>
      <c r="C22" t="s">
        <v>565</v>
      </c>
      <c r="D22" s="18" t="s">
        <v>50</v>
      </c>
      <c r="E22" t="s">
        <v>499</v>
      </c>
      <c r="F22" s="18" t="s">
        <v>497</v>
      </c>
      <c r="H22" s="18" t="s">
        <v>90</v>
      </c>
      <c r="I22" t="s">
        <v>498</v>
      </c>
    </row>
    <row r="23" spans="1:10" x14ac:dyDescent="0.25">
      <c r="A23" s="18" t="s">
        <v>1</v>
      </c>
      <c r="C23" t="s">
        <v>565</v>
      </c>
      <c r="D23" s="18" t="s">
        <v>50</v>
      </c>
      <c r="E23" t="s">
        <v>500</v>
      </c>
      <c r="F23" s="18" t="s">
        <v>497</v>
      </c>
      <c r="H23" s="18" t="s">
        <v>90</v>
      </c>
      <c r="I23" t="s">
        <v>501</v>
      </c>
    </row>
    <row r="24" spans="1:10" x14ac:dyDescent="0.25">
      <c r="A24" s="18" t="s">
        <v>1</v>
      </c>
      <c r="C24" t="s">
        <v>565</v>
      </c>
      <c r="D24" s="18" t="s">
        <v>50</v>
      </c>
      <c r="E24" t="s">
        <v>499</v>
      </c>
      <c r="F24" s="18" t="s">
        <v>497</v>
      </c>
      <c r="H24" s="18" t="s">
        <v>90</v>
      </c>
      <c r="I24" t="s">
        <v>498</v>
      </c>
    </row>
    <row r="25" spans="1:10" x14ac:dyDescent="0.25">
      <c r="A25" s="18" t="s">
        <v>1</v>
      </c>
      <c r="C25" t="s">
        <v>565</v>
      </c>
      <c r="D25" s="18" t="s">
        <v>50</v>
      </c>
      <c r="E25" t="s">
        <v>500</v>
      </c>
      <c r="F25" s="18" t="s">
        <v>497</v>
      </c>
      <c r="H25" s="18" t="s">
        <v>90</v>
      </c>
      <c r="I25" t="s">
        <v>501</v>
      </c>
    </row>
    <row r="26" spans="1:10" x14ac:dyDescent="0.25">
      <c r="A26" s="18" t="s">
        <v>1</v>
      </c>
      <c r="C26" t="s">
        <v>565</v>
      </c>
      <c r="D26" s="18" t="s">
        <v>50</v>
      </c>
      <c r="E26" t="s">
        <v>499</v>
      </c>
      <c r="F26" s="18" t="s">
        <v>497</v>
      </c>
      <c r="H26" s="18" t="s">
        <v>90</v>
      </c>
      <c r="I26" t="s">
        <v>498</v>
      </c>
    </row>
    <row r="27" spans="1:10" x14ac:dyDescent="0.25">
      <c r="A27" s="18" t="s">
        <v>1</v>
      </c>
      <c r="C27" t="s">
        <v>565</v>
      </c>
      <c r="D27" s="18" t="s">
        <v>50</v>
      </c>
      <c r="E27" t="s">
        <v>500</v>
      </c>
      <c r="F27" s="18" t="s">
        <v>497</v>
      </c>
      <c r="H27" s="18" t="s">
        <v>90</v>
      </c>
      <c r="I27" t="s">
        <v>501</v>
      </c>
    </row>
    <row r="28" spans="1:10" x14ac:dyDescent="0.25">
      <c r="A28" s="18" t="s">
        <v>1</v>
      </c>
      <c r="C28" t="s">
        <v>565</v>
      </c>
      <c r="D28" s="18" t="s">
        <v>50</v>
      </c>
      <c r="E28" t="s">
        <v>499</v>
      </c>
      <c r="F28" s="18" t="s">
        <v>497</v>
      </c>
      <c r="H28" s="18" t="s">
        <v>90</v>
      </c>
      <c r="I28" t="s">
        <v>498</v>
      </c>
    </row>
    <row r="29" spans="1:10" x14ac:dyDescent="0.25">
      <c r="A29" s="18" t="s">
        <v>1</v>
      </c>
      <c r="C29" t="s">
        <v>565</v>
      </c>
      <c r="D29" s="18" t="s">
        <v>50</v>
      </c>
      <c r="E29" t="s">
        <v>499</v>
      </c>
      <c r="F29" s="18" t="s">
        <v>497</v>
      </c>
      <c r="H29" s="18" t="s">
        <v>90</v>
      </c>
      <c r="I29" t="s">
        <v>498</v>
      </c>
    </row>
    <row r="30" spans="1:10" x14ac:dyDescent="0.25">
      <c r="A30" s="18" t="s">
        <v>1</v>
      </c>
      <c r="C30" t="s">
        <v>565</v>
      </c>
      <c r="D30" s="18" t="s">
        <v>50</v>
      </c>
      <c r="E30" t="s">
        <v>499</v>
      </c>
      <c r="F30" s="18" t="s">
        <v>497</v>
      </c>
      <c r="H30" s="18" t="s">
        <v>90</v>
      </c>
      <c r="I30" t="s">
        <v>498</v>
      </c>
    </row>
    <row r="31" spans="1:10" x14ac:dyDescent="0.25">
      <c r="A31" s="18" t="s">
        <v>1</v>
      </c>
      <c r="C31" t="s">
        <v>565</v>
      </c>
      <c r="D31" s="18" t="s">
        <v>50</v>
      </c>
      <c r="E31" t="s">
        <v>499</v>
      </c>
      <c r="F31" s="18" t="s">
        <v>497</v>
      </c>
      <c r="H31" s="18" t="s">
        <v>90</v>
      </c>
      <c r="I31" t="s">
        <v>498</v>
      </c>
    </row>
    <row r="32" spans="1:10" x14ac:dyDescent="0.25">
      <c r="A32" s="18" t="s">
        <v>1</v>
      </c>
      <c r="C32" t="s">
        <v>565</v>
      </c>
      <c r="D32" s="18" t="s">
        <v>50</v>
      </c>
      <c r="E32" t="s">
        <v>499</v>
      </c>
      <c r="F32" s="18" t="s">
        <v>497</v>
      </c>
      <c r="H32" s="18" t="s">
        <v>90</v>
      </c>
      <c r="I32" t="s">
        <v>498</v>
      </c>
    </row>
    <row r="33" spans="1:9" x14ac:dyDescent="0.25">
      <c r="A33" s="18" t="s">
        <v>1</v>
      </c>
      <c r="C33" t="s">
        <v>565</v>
      </c>
      <c r="D33" s="18" t="s">
        <v>50</v>
      </c>
      <c r="E33" t="s">
        <v>499</v>
      </c>
      <c r="F33" s="18" t="s">
        <v>497</v>
      </c>
      <c r="H33" s="18" t="s">
        <v>90</v>
      </c>
      <c r="I33" t="s">
        <v>498</v>
      </c>
    </row>
    <row r="34" spans="1:9" x14ac:dyDescent="0.25">
      <c r="A34" s="18" t="s">
        <v>1</v>
      </c>
      <c r="C34" t="s">
        <v>565</v>
      </c>
      <c r="D34" s="18" t="s">
        <v>50</v>
      </c>
      <c r="E34" t="s">
        <v>499</v>
      </c>
      <c r="F34" s="18" t="s">
        <v>497</v>
      </c>
      <c r="H34" s="18" t="s">
        <v>90</v>
      </c>
      <c r="I34" t="s">
        <v>498</v>
      </c>
    </row>
    <row r="35" spans="1:9" x14ac:dyDescent="0.25">
      <c r="A35" s="18" t="s">
        <v>1</v>
      </c>
      <c r="C35" t="s">
        <v>565</v>
      </c>
      <c r="D35" s="18" t="s">
        <v>50</v>
      </c>
      <c r="E35" t="s">
        <v>499</v>
      </c>
      <c r="F35" s="18" t="s">
        <v>497</v>
      </c>
      <c r="H35" s="18" t="s">
        <v>90</v>
      </c>
      <c r="I35" t="s">
        <v>498</v>
      </c>
    </row>
    <row r="36" spans="1:9" x14ac:dyDescent="0.25">
      <c r="A36" s="18" t="s">
        <v>1</v>
      </c>
      <c r="C36" t="s">
        <v>565</v>
      </c>
      <c r="D36" s="18" t="s">
        <v>50</v>
      </c>
      <c r="E36" t="s">
        <v>499</v>
      </c>
      <c r="F36" s="18" t="s">
        <v>497</v>
      </c>
      <c r="H36" s="18" t="s">
        <v>90</v>
      </c>
      <c r="I36" t="s">
        <v>498</v>
      </c>
    </row>
    <row r="37" spans="1:9" x14ac:dyDescent="0.25">
      <c r="A37" s="18" t="s">
        <v>1</v>
      </c>
      <c r="C37" t="s">
        <v>565</v>
      </c>
      <c r="D37" s="18" t="s">
        <v>50</v>
      </c>
      <c r="E37" t="s">
        <v>499</v>
      </c>
      <c r="F37" s="18" t="s">
        <v>497</v>
      </c>
      <c r="H37" s="18" t="s">
        <v>90</v>
      </c>
      <c r="I37" t="s">
        <v>498</v>
      </c>
    </row>
    <row r="38" spans="1:9" x14ac:dyDescent="0.25">
      <c r="A38" s="18" t="s">
        <v>1</v>
      </c>
      <c r="C38" t="s">
        <v>565</v>
      </c>
      <c r="D38" s="18" t="s">
        <v>50</v>
      </c>
      <c r="E38" t="s">
        <v>499</v>
      </c>
      <c r="F38" s="18" t="s">
        <v>497</v>
      </c>
      <c r="H38" s="18" t="s">
        <v>90</v>
      </c>
      <c r="I38" t="s">
        <v>498</v>
      </c>
    </row>
    <row r="39" spans="1:9" x14ac:dyDescent="0.25">
      <c r="A39" s="18" t="s">
        <v>1</v>
      </c>
      <c r="C39" t="s">
        <v>565</v>
      </c>
      <c r="D39" s="18" t="s">
        <v>50</v>
      </c>
      <c r="E39" t="s">
        <v>499</v>
      </c>
      <c r="F39" s="18" t="s">
        <v>497</v>
      </c>
      <c r="H39" s="18" t="s">
        <v>90</v>
      </c>
      <c r="I39" t="s">
        <v>498</v>
      </c>
    </row>
    <row r="40" spans="1:9" x14ac:dyDescent="0.25">
      <c r="A40" s="18" t="s">
        <v>1</v>
      </c>
      <c r="C40" t="s">
        <v>565</v>
      </c>
      <c r="D40" s="18" t="s">
        <v>50</v>
      </c>
      <c r="E40" t="s">
        <v>499</v>
      </c>
      <c r="F40" s="18" t="s">
        <v>497</v>
      </c>
      <c r="H40" s="18" t="s">
        <v>90</v>
      </c>
      <c r="I40" t="s">
        <v>498</v>
      </c>
    </row>
    <row r="41" spans="1:9" x14ac:dyDescent="0.25">
      <c r="A41" s="18" t="s">
        <v>1</v>
      </c>
      <c r="C41" t="s">
        <v>565</v>
      </c>
      <c r="D41" s="18" t="s">
        <v>50</v>
      </c>
      <c r="E41" t="s">
        <v>499</v>
      </c>
      <c r="F41" s="18" t="s">
        <v>497</v>
      </c>
      <c r="H41" s="18" t="s">
        <v>90</v>
      </c>
      <c r="I41" t="s">
        <v>498</v>
      </c>
    </row>
    <row r="42" spans="1:9" x14ac:dyDescent="0.25">
      <c r="A42" s="18" t="s">
        <v>1</v>
      </c>
      <c r="C42" t="s">
        <v>565</v>
      </c>
      <c r="D42" s="18" t="s">
        <v>50</v>
      </c>
      <c r="E42" t="s">
        <v>499</v>
      </c>
      <c r="F42" s="18" t="s">
        <v>497</v>
      </c>
      <c r="H42" s="18" t="s">
        <v>90</v>
      </c>
      <c r="I42" t="s">
        <v>498</v>
      </c>
    </row>
    <row r="43" spans="1:9" x14ac:dyDescent="0.25">
      <c r="A43" s="18" t="s">
        <v>1</v>
      </c>
      <c r="C43" t="s">
        <v>565</v>
      </c>
      <c r="D43" s="18" t="s">
        <v>50</v>
      </c>
      <c r="E43" t="s">
        <v>499</v>
      </c>
      <c r="F43" s="18" t="s">
        <v>497</v>
      </c>
      <c r="H43" s="18" t="s">
        <v>90</v>
      </c>
      <c r="I43" t="s">
        <v>498</v>
      </c>
    </row>
    <row r="44" spans="1:9" x14ac:dyDescent="0.25">
      <c r="A44" s="18" t="s">
        <v>1</v>
      </c>
      <c r="C44" t="s">
        <v>565</v>
      </c>
      <c r="D44" s="18" t="s">
        <v>50</v>
      </c>
      <c r="E44" t="s">
        <v>499</v>
      </c>
      <c r="F44" s="18" t="s">
        <v>497</v>
      </c>
      <c r="H44" s="18" t="s">
        <v>90</v>
      </c>
      <c r="I44" t="s">
        <v>498</v>
      </c>
    </row>
    <row r="45" spans="1:9" x14ac:dyDescent="0.25">
      <c r="A45" s="18" t="s">
        <v>1</v>
      </c>
      <c r="C45" t="s">
        <v>565</v>
      </c>
      <c r="D45" s="18" t="s">
        <v>50</v>
      </c>
      <c r="E45" t="s">
        <v>499</v>
      </c>
      <c r="F45" s="18" t="s">
        <v>497</v>
      </c>
      <c r="H45" s="18" t="s">
        <v>90</v>
      </c>
      <c r="I45" t="s">
        <v>498</v>
      </c>
    </row>
    <row r="46" spans="1:9" x14ac:dyDescent="0.25">
      <c r="A46" s="18" t="s">
        <v>1</v>
      </c>
      <c r="C46" t="s">
        <v>565</v>
      </c>
      <c r="D46" s="18" t="s">
        <v>50</v>
      </c>
      <c r="E46" t="s">
        <v>499</v>
      </c>
      <c r="F46" s="18" t="s">
        <v>497</v>
      </c>
      <c r="H46" s="18" t="s">
        <v>90</v>
      </c>
      <c r="I46" t="s">
        <v>498</v>
      </c>
    </row>
    <row r="47" spans="1:9" x14ac:dyDescent="0.25">
      <c r="A47" s="18" t="s">
        <v>509</v>
      </c>
      <c r="C47" t="s">
        <v>565</v>
      </c>
      <c r="D47" s="18" t="s">
        <v>50</v>
      </c>
      <c r="E47" t="s">
        <v>510</v>
      </c>
      <c r="F47" s="18" t="s">
        <v>497</v>
      </c>
      <c r="H47" s="18" t="s">
        <v>508</v>
      </c>
      <c r="I47" t="s">
        <v>502</v>
      </c>
    </row>
    <row r="48" spans="1:9" x14ac:dyDescent="0.25">
      <c r="A48" s="18" t="s">
        <v>509</v>
      </c>
      <c r="C48" t="s">
        <v>565</v>
      </c>
      <c r="D48" s="18" t="s">
        <v>50</v>
      </c>
      <c r="E48" t="s">
        <v>510</v>
      </c>
      <c r="F48" s="18" t="s">
        <v>497</v>
      </c>
      <c r="H48" s="18" t="s">
        <v>508</v>
      </c>
      <c r="I48" t="s">
        <v>503</v>
      </c>
    </row>
    <row r="49" spans="1:9" x14ac:dyDescent="0.25">
      <c r="A49" s="18" t="s">
        <v>509</v>
      </c>
      <c r="C49" t="s">
        <v>565</v>
      </c>
      <c r="D49" s="18" t="s">
        <v>50</v>
      </c>
      <c r="E49" t="s">
        <v>510</v>
      </c>
      <c r="F49" s="18" t="s">
        <v>497</v>
      </c>
      <c r="H49" s="18" t="s">
        <v>508</v>
      </c>
      <c r="I49" t="s">
        <v>502</v>
      </c>
    </row>
    <row r="50" spans="1:9" x14ac:dyDescent="0.25">
      <c r="A50" s="18" t="s">
        <v>509</v>
      </c>
      <c r="C50" t="s">
        <v>565</v>
      </c>
      <c r="D50" s="18" t="s">
        <v>50</v>
      </c>
      <c r="E50" t="s">
        <v>510</v>
      </c>
      <c r="F50" s="18" t="s">
        <v>497</v>
      </c>
      <c r="H50" s="18" t="s">
        <v>508</v>
      </c>
      <c r="I50" t="s">
        <v>502</v>
      </c>
    </row>
    <row r="51" spans="1:9" x14ac:dyDescent="0.25">
      <c r="A51" s="18" t="s">
        <v>509</v>
      </c>
      <c r="C51" t="s">
        <v>565</v>
      </c>
      <c r="D51" s="18" t="s">
        <v>50</v>
      </c>
      <c r="E51" t="s">
        <v>510</v>
      </c>
      <c r="F51" s="18" t="s">
        <v>497</v>
      </c>
      <c r="H51" s="18" t="s">
        <v>508</v>
      </c>
      <c r="I51" t="s">
        <v>504</v>
      </c>
    </row>
    <row r="52" spans="1:9" x14ac:dyDescent="0.25">
      <c r="A52" s="18" t="s">
        <v>509</v>
      </c>
      <c r="C52" t="s">
        <v>565</v>
      </c>
      <c r="D52" s="18" t="s">
        <v>50</v>
      </c>
      <c r="E52" t="s">
        <v>510</v>
      </c>
      <c r="F52" s="18" t="s">
        <v>497</v>
      </c>
      <c r="H52" s="18" t="s">
        <v>508</v>
      </c>
      <c r="I52" t="s">
        <v>502</v>
      </c>
    </row>
    <row r="53" spans="1:9" x14ac:dyDescent="0.25">
      <c r="A53" s="18" t="s">
        <v>509</v>
      </c>
      <c r="C53" t="s">
        <v>565</v>
      </c>
      <c r="D53" s="18" t="s">
        <v>50</v>
      </c>
      <c r="E53" t="s">
        <v>510</v>
      </c>
      <c r="F53" s="18" t="s">
        <v>497</v>
      </c>
      <c r="H53" s="18" t="s">
        <v>508</v>
      </c>
      <c r="I53" t="s">
        <v>505</v>
      </c>
    </row>
    <row r="54" spans="1:9" x14ac:dyDescent="0.25">
      <c r="A54" s="18" t="s">
        <v>509</v>
      </c>
      <c r="C54" t="s">
        <v>565</v>
      </c>
      <c r="D54" s="18" t="s">
        <v>50</v>
      </c>
      <c r="E54" t="s">
        <v>510</v>
      </c>
      <c r="F54" s="18" t="s">
        <v>497</v>
      </c>
      <c r="H54" s="18" t="s">
        <v>508</v>
      </c>
      <c r="I54" t="s">
        <v>504</v>
      </c>
    </row>
    <row r="55" spans="1:9" x14ac:dyDescent="0.25">
      <c r="A55" s="18" t="s">
        <v>509</v>
      </c>
      <c r="C55" t="s">
        <v>565</v>
      </c>
      <c r="D55" s="18" t="s">
        <v>50</v>
      </c>
      <c r="E55" t="s">
        <v>510</v>
      </c>
      <c r="F55" s="18" t="s">
        <v>497</v>
      </c>
      <c r="H55" s="18" t="s">
        <v>508</v>
      </c>
      <c r="I55" t="s">
        <v>505</v>
      </c>
    </row>
    <row r="56" spans="1:9" x14ac:dyDescent="0.25">
      <c r="A56" s="18" t="s">
        <v>509</v>
      </c>
      <c r="C56" t="s">
        <v>565</v>
      </c>
      <c r="D56" s="18" t="s">
        <v>50</v>
      </c>
      <c r="E56" t="s">
        <v>510</v>
      </c>
      <c r="F56" s="18" t="s">
        <v>497</v>
      </c>
      <c r="H56" s="18" t="s">
        <v>508</v>
      </c>
      <c r="I56" t="s">
        <v>504</v>
      </c>
    </row>
    <row r="57" spans="1:9" x14ac:dyDescent="0.25">
      <c r="A57" s="18" t="s">
        <v>509</v>
      </c>
      <c r="C57" t="s">
        <v>565</v>
      </c>
      <c r="D57" s="18" t="s">
        <v>50</v>
      </c>
      <c r="E57" t="s">
        <v>510</v>
      </c>
      <c r="F57" s="18" t="s">
        <v>497</v>
      </c>
      <c r="H57" s="18" t="s">
        <v>508</v>
      </c>
      <c r="I57" t="s">
        <v>506</v>
      </c>
    </row>
    <row r="58" spans="1:9" x14ac:dyDescent="0.25">
      <c r="A58" s="18" t="s">
        <v>509</v>
      </c>
      <c r="C58" t="s">
        <v>565</v>
      </c>
      <c r="D58" s="18" t="s">
        <v>50</v>
      </c>
      <c r="E58" t="s">
        <v>510</v>
      </c>
      <c r="F58" s="18" t="s">
        <v>497</v>
      </c>
      <c r="H58" s="18" t="s">
        <v>508</v>
      </c>
      <c r="I58" t="s">
        <v>506</v>
      </c>
    </row>
    <row r="59" spans="1:9" x14ac:dyDescent="0.25">
      <c r="A59" s="18" t="s">
        <v>509</v>
      </c>
      <c r="C59" t="s">
        <v>565</v>
      </c>
      <c r="D59" s="18" t="s">
        <v>50</v>
      </c>
      <c r="E59" t="s">
        <v>510</v>
      </c>
      <c r="F59" s="18" t="s">
        <v>497</v>
      </c>
      <c r="H59" s="18" t="s">
        <v>508</v>
      </c>
      <c r="I59" t="s">
        <v>502</v>
      </c>
    </row>
    <row r="60" spans="1:9" x14ac:dyDescent="0.25">
      <c r="A60" s="18" t="s">
        <v>509</v>
      </c>
      <c r="C60" t="s">
        <v>565</v>
      </c>
      <c r="D60" s="18" t="s">
        <v>50</v>
      </c>
      <c r="E60" t="s">
        <v>510</v>
      </c>
      <c r="F60" s="18" t="s">
        <v>497</v>
      </c>
      <c r="H60" s="18" t="s">
        <v>508</v>
      </c>
      <c r="I60" t="s">
        <v>504</v>
      </c>
    </row>
    <row r="61" spans="1:9" x14ac:dyDescent="0.25">
      <c r="A61" s="18" t="s">
        <v>509</v>
      </c>
      <c r="C61" t="s">
        <v>565</v>
      </c>
      <c r="D61" s="18" t="s">
        <v>50</v>
      </c>
      <c r="E61" t="s">
        <v>510</v>
      </c>
      <c r="F61" s="18" t="s">
        <v>497</v>
      </c>
      <c r="H61" s="18" t="s">
        <v>508</v>
      </c>
      <c r="I61" t="s">
        <v>506</v>
      </c>
    </row>
    <row r="62" spans="1:9" x14ac:dyDescent="0.25">
      <c r="A62" s="18" t="s">
        <v>509</v>
      </c>
      <c r="C62" t="s">
        <v>565</v>
      </c>
      <c r="D62" s="18" t="s">
        <v>50</v>
      </c>
      <c r="E62" t="s">
        <v>510</v>
      </c>
      <c r="F62" s="18" t="s">
        <v>497</v>
      </c>
      <c r="H62" s="18" t="s">
        <v>508</v>
      </c>
      <c r="I62" t="s">
        <v>506</v>
      </c>
    </row>
    <row r="63" spans="1:9" x14ac:dyDescent="0.25">
      <c r="A63" s="18" t="s">
        <v>509</v>
      </c>
      <c r="C63" t="s">
        <v>565</v>
      </c>
      <c r="D63" s="18" t="s">
        <v>50</v>
      </c>
      <c r="E63" t="s">
        <v>510</v>
      </c>
      <c r="F63" s="18" t="s">
        <v>497</v>
      </c>
      <c r="H63" s="18" t="s">
        <v>508</v>
      </c>
      <c r="I63" t="s">
        <v>504</v>
      </c>
    </row>
    <row r="64" spans="1:9" x14ac:dyDescent="0.25">
      <c r="A64" s="18" t="s">
        <v>509</v>
      </c>
      <c r="C64" t="s">
        <v>565</v>
      </c>
      <c r="D64" s="18" t="s">
        <v>50</v>
      </c>
      <c r="E64" t="s">
        <v>510</v>
      </c>
      <c r="F64" s="18" t="s">
        <v>497</v>
      </c>
      <c r="H64" s="18" t="s">
        <v>508</v>
      </c>
      <c r="I64" t="s">
        <v>507</v>
      </c>
    </row>
    <row r="65" spans="1:15" x14ac:dyDescent="0.25">
      <c r="A65" s="18" t="s">
        <v>509</v>
      </c>
      <c r="C65" t="s">
        <v>565</v>
      </c>
      <c r="D65" s="18" t="s">
        <v>50</v>
      </c>
      <c r="E65" t="s">
        <v>510</v>
      </c>
      <c r="F65" s="18" t="s">
        <v>497</v>
      </c>
      <c r="H65" s="18" t="s">
        <v>508</v>
      </c>
      <c r="I65" t="s">
        <v>507</v>
      </c>
    </row>
    <row r="66" spans="1:15" x14ac:dyDescent="0.25">
      <c r="A66" s="18" t="s">
        <v>509</v>
      </c>
      <c r="C66" t="s">
        <v>565</v>
      </c>
      <c r="D66" s="18" t="s">
        <v>50</v>
      </c>
      <c r="E66" t="s">
        <v>510</v>
      </c>
      <c r="F66" s="18" t="s">
        <v>497</v>
      </c>
      <c r="H66" s="18" t="s">
        <v>508</v>
      </c>
      <c r="I66" t="s">
        <v>507</v>
      </c>
    </row>
    <row r="67" spans="1:15" x14ac:dyDescent="0.25">
      <c r="A67" s="18" t="s">
        <v>509</v>
      </c>
      <c r="C67" t="s">
        <v>565</v>
      </c>
      <c r="D67" s="18" t="s">
        <v>50</v>
      </c>
      <c r="E67" t="s">
        <v>510</v>
      </c>
      <c r="F67" s="18" t="s">
        <v>497</v>
      </c>
      <c r="H67" s="18" t="s">
        <v>508</v>
      </c>
      <c r="I67" t="s">
        <v>506</v>
      </c>
    </row>
    <row r="68" spans="1:15" x14ac:dyDescent="0.25">
      <c r="A68" s="18" t="s">
        <v>509</v>
      </c>
      <c r="C68" t="s">
        <v>565</v>
      </c>
      <c r="D68" s="18" t="s">
        <v>50</v>
      </c>
      <c r="E68" t="s">
        <v>510</v>
      </c>
      <c r="F68" s="18" t="s">
        <v>497</v>
      </c>
      <c r="H68" s="18" t="s">
        <v>508</v>
      </c>
      <c r="I68" t="s">
        <v>504</v>
      </c>
    </row>
    <row r="69" spans="1:15" x14ac:dyDescent="0.25">
      <c r="A69" s="18" t="s">
        <v>509</v>
      </c>
      <c r="C69" t="s">
        <v>565</v>
      </c>
      <c r="D69" s="18" t="s">
        <v>50</v>
      </c>
      <c r="E69" t="s">
        <v>510</v>
      </c>
      <c r="F69" s="18" t="s">
        <v>497</v>
      </c>
      <c r="H69" s="18" t="s">
        <v>508</v>
      </c>
      <c r="I69" t="s">
        <v>504</v>
      </c>
    </row>
    <row r="70" spans="1:15" x14ac:dyDescent="0.25">
      <c r="A70" s="18" t="s">
        <v>509</v>
      </c>
      <c r="C70" t="s">
        <v>565</v>
      </c>
      <c r="D70" s="18" t="s">
        <v>50</v>
      </c>
      <c r="E70" t="s">
        <v>510</v>
      </c>
      <c r="F70" s="18" t="s">
        <v>497</v>
      </c>
      <c r="H70" s="18" t="s">
        <v>508</v>
      </c>
      <c r="I70" t="s">
        <v>504</v>
      </c>
    </row>
    <row r="71" spans="1:15" x14ac:dyDescent="0.25">
      <c r="A71" s="18" t="s">
        <v>509</v>
      </c>
      <c r="C71" t="s">
        <v>565</v>
      </c>
      <c r="D71" s="18" t="s">
        <v>50</v>
      </c>
      <c r="E71" t="s">
        <v>510</v>
      </c>
      <c r="F71" s="18" t="s">
        <v>497</v>
      </c>
      <c r="H71" s="18" t="s">
        <v>508</v>
      </c>
      <c r="I71" t="s">
        <v>504</v>
      </c>
    </row>
    <row r="72" spans="1:15" x14ac:dyDescent="0.25">
      <c r="A72" s="18" t="s">
        <v>509</v>
      </c>
      <c r="C72" t="s">
        <v>565</v>
      </c>
      <c r="D72" s="18" t="s">
        <v>50</v>
      </c>
      <c r="E72" t="s">
        <v>510</v>
      </c>
      <c r="F72" s="18" t="s">
        <v>497</v>
      </c>
      <c r="H72" s="18" t="s">
        <v>508</v>
      </c>
      <c r="I72" t="s">
        <v>504</v>
      </c>
    </row>
    <row r="73" spans="1:15" x14ac:dyDescent="0.25">
      <c r="A73" s="18" t="s">
        <v>509</v>
      </c>
      <c r="C73" t="s">
        <v>565</v>
      </c>
      <c r="D73" s="18" t="s">
        <v>50</v>
      </c>
      <c r="E73" t="s">
        <v>510</v>
      </c>
      <c r="F73" s="18" t="s">
        <v>497</v>
      </c>
      <c r="H73" s="18" t="s">
        <v>508</v>
      </c>
      <c r="I73" t="s">
        <v>504</v>
      </c>
    </row>
    <row r="74" spans="1:15" x14ac:dyDescent="0.25">
      <c r="A74" s="18" t="s">
        <v>509</v>
      </c>
      <c r="C74" t="s">
        <v>565</v>
      </c>
      <c r="D74" s="18" t="s">
        <v>50</v>
      </c>
      <c r="E74" t="s">
        <v>510</v>
      </c>
      <c r="F74" s="18" t="s">
        <v>497</v>
      </c>
      <c r="H74" s="18" t="s">
        <v>508</v>
      </c>
      <c r="I74" t="s">
        <v>504</v>
      </c>
    </row>
    <row r="75" spans="1:15" x14ac:dyDescent="0.25">
      <c r="A75" s="18" t="s">
        <v>509</v>
      </c>
      <c r="C75" t="s">
        <v>565</v>
      </c>
      <c r="D75" s="18" t="s">
        <v>50</v>
      </c>
      <c r="E75" t="s">
        <v>510</v>
      </c>
      <c r="F75" s="18" t="s">
        <v>497</v>
      </c>
      <c r="H75" s="18" t="s">
        <v>508</v>
      </c>
      <c r="I75" t="s">
        <v>504</v>
      </c>
    </row>
    <row r="76" spans="1:15" x14ac:dyDescent="0.25">
      <c r="A76" s="18" t="s">
        <v>509</v>
      </c>
      <c r="C76" t="s">
        <v>565</v>
      </c>
      <c r="D76" s="18" t="s">
        <v>50</v>
      </c>
      <c r="E76" t="s">
        <v>510</v>
      </c>
      <c r="F76" s="18" t="s">
        <v>497</v>
      </c>
      <c r="H76" s="18" t="s">
        <v>508</v>
      </c>
      <c r="I76" t="s">
        <v>504</v>
      </c>
    </row>
    <row r="77" spans="1:15" x14ac:dyDescent="0.25">
      <c r="A77" s="18" t="s">
        <v>509</v>
      </c>
      <c r="C77" t="s">
        <v>565</v>
      </c>
      <c r="D77" s="18" t="s">
        <v>50</v>
      </c>
      <c r="E77" t="s">
        <v>510</v>
      </c>
      <c r="F77" s="18" t="s">
        <v>497</v>
      </c>
      <c r="H77" s="18" t="s">
        <v>508</v>
      </c>
      <c r="I77" t="s">
        <v>504</v>
      </c>
    </row>
    <row r="78" spans="1:15" x14ac:dyDescent="0.25">
      <c r="A78" s="18" t="s">
        <v>509</v>
      </c>
      <c r="C78" t="s">
        <v>565</v>
      </c>
      <c r="D78" s="18" t="s">
        <v>50</v>
      </c>
      <c r="E78" t="s">
        <v>510</v>
      </c>
      <c r="F78" s="18" t="s">
        <v>497</v>
      </c>
      <c r="H78" s="18" t="s">
        <v>508</v>
      </c>
      <c r="I78" t="s">
        <v>504</v>
      </c>
    </row>
    <row r="79" spans="1:15" x14ac:dyDescent="0.25">
      <c r="A79" s="18" t="s">
        <v>32</v>
      </c>
      <c r="C79" t="s">
        <v>565</v>
      </c>
      <c r="D79" s="18" t="s">
        <v>50</v>
      </c>
      <c r="E79" t="s">
        <v>511</v>
      </c>
      <c r="F79" s="18" t="s">
        <v>497</v>
      </c>
      <c r="H79" s="18" t="s">
        <v>34</v>
      </c>
      <c r="I79" t="s">
        <v>512</v>
      </c>
      <c r="J79" t="s">
        <v>514</v>
      </c>
      <c r="M79" t="s">
        <v>133</v>
      </c>
      <c r="O79" t="s">
        <v>513</v>
      </c>
    </row>
    <row r="80" spans="1:15" x14ac:dyDescent="0.25">
      <c r="A80" s="18" t="s">
        <v>32</v>
      </c>
      <c r="C80" t="s">
        <v>565</v>
      </c>
      <c r="D80" s="18" t="s">
        <v>50</v>
      </c>
      <c r="E80" t="s">
        <v>511</v>
      </c>
      <c r="F80" s="18" t="s">
        <v>497</v>
      </c>
      <c r="H80" s="18" t="s">
        <v>34</v>
      </c>
      <c r="I80" t="s">
        <v>512</v>
      </c>
      <c r="J80" t="s">
        <v>515</v>
      </c>
      <c r="M80" t="s">
        <v>133</v>
      </c>
      <c r="O80" t="s">
        <v>513</v>
      </c>
    </row>
    <row r="81" spans="1:15" x14ac:dyDescent="0.25">
      <c r="A81" s="18" t="s">
        <v>32</v>
      </c>
      <c r="C81" t="s">
        <v>565</v>
      </c>
      <c r="D81" s="18" t="s">
        <v>50</v>
      </c>
      <c r="E81" t="s">
        <v>511</v>
      </c>
      <c r="F81" s="18" t="s">
        <v>497</v>
      </c>
      <c r="H81" s="18" t="s">
        <v>34</v>
      </c>
      <c r="I81" t="s">
        <v>512</v>
      </c>
      <c r="J81" t="s">
        <v>516</v>
      </c>
      <c r="M81" t="s">
        <v>133</v>
      </c>
      <c r="O81" t="s">
        <v>513</v>
      </c>
    </row>
    <row r="82" spans="1:15" x14ac:dyDescent="0.25">
      <c r="A82" s="18" t="s">
        <v>32</v>
      </c>
      <c r="C82" t="s">
        <v>565</v>
      </c>
      <c r="D82" s="18" t="s">
        <v>50</v>
      </c>
      <c r="E82" t="s">
        <v>511</v>
      </c>
      <c r="F82" s="18" t="s">
        <v>497</v>
      </c>
      <c r="H82" s="18" t="s">
        <v>34</v>
      </c>
      <c r="I82" t="s">
        <v>512</v>
      </c>
      <c r="J82" t="s">
        <v>517</v>
      </c>
      <c r="M82" t="s">
        <v>133</v>
      </c>
      <c r="O82" t="s">
        <v>513</v>
      </c>
    </row>
    <row r="83" spans="1:15" x14ac:dyDescent="0.25">
      <c r="A83" s="18" t="s">
        <v>32</v>
      </c>
      <c r="C83" t="s">
        <v>565</v>
      </c>
      <c r="D83" s="18" t="s">
        <v>50</v>
      </c>
      <c r="E83" t="s">
        <v>511</v>
      </c>
      <c r="F83" s="18" t="s">
        <v>497</v>
      </c>
      <c r="H83" s="18" t="s">
        <v>34</v>
      </c>
      <c r="I83" t="s">
        <v>512</v>
      </c>
      <c r="J83" t="s">
        <v>518</v>
      </c>
      <c r="M83" t="s">
        <v>133</v>
      </c>
      <c r="O83" t="s">
        <v>513</v>
      </c>
    </row>
    <row r="84" spans="1:15" x14ac:dyDescent="0.25">
      <c r="A84" s="18" t="s">
        <v>32</v>
      </c>
      <c r="C84" t="s">
        <v>565</v>
      </c>
      <c r="D84" s="18" t="s">
        <v>50</v>
      </c>
      <c r="E84" t="s">
        <v>511</v>
      </c>
      <c r="F84" s="18" t="s">
        <v>497</v>
      </c>
      <c r="H84" s="18" t="s">
        <v>34</v>
      </c>
      <c r="I84" t="s">
        <v>512</v>
      </c>
      <c r="J84" t="s">
        <v>519</v>
      </c>
      <c r="M84" t="s">
        <v>133</v>
      </c>
      <c r="O84" t="s">
        <v>513</v>
      </c>
    </row>
    <row r="85" spans="1:15" x14ac:dyDescent="0.25">
      <c r="A85" s="18" t="s">
        <v>32</v>
      </c>
      <c r="C85" t="s">
        <v>565</v>
      </c>
      <c r="D85" s="18" t="s">
        <v>50</v>
      </c>
      <c r="E85" t="s">
        <v>511</v>
      </c>
      <c r="F85" s="18" t="s">
        <v>497</v>
      </c>
      <c r="H85" s="18" t="s">
        <v>34</v>
      </c>
      <c r="I85" t="s">
        <v>512</v>
      </c>
      <c r="J85" t="s">
        <v>520</v>
      </c>
      <c r="M85" t="s">
        <v>133</v>
      </c>
      <c r="O85" t="s">
        <v>513</v>
      </c>
    </row>
    <row r="86" spans="1:15" x14ac:dyDescent="0.25">
      <c r="A86" s="18" t="s">
        <v>32</v>
      </c>
      <c r="C86" t="s">
        <v>565</v>
      </c>
      <c r="D86" s="18" t="s">
        <v>50</v>
      </c>
      <c r="E86" t="s">
        <v>511</v>
      </c>
      <c r="F86" s="18" t="s">
        <v>497</v>
      </c>
      <c r="H86" s="18" t="s">
        <v>34</v>
      </c>
      <c r="I86" t="s">
        <v>512</v>
      </c>
      <c r="J86" t="s">
        <v>521</v>
      </c>
      <c r="M86" t="s">
        <v>133</v>
      </c>
      <c r="O86" t="s">
        <v>513</v>
      </c>
    </row>
    <row r="87" spans="1:15" x14ac:dyDescent="0.25">
      <c r="A87" s="18" t="s">
        <v>32</v>
      </c>
      <c r="C87" t="s">
        <v>565</v>
      </c>
      <c r="D87" s="18" t="s">
        <v>50</v>
      </c>
      <c r="E87" t="s">
        <v>511</v>
      </c>
      <c r="F87" s="18" t="s">
        <v>497</v>
      </c>
      <c r="H87" s="18" t="s">
        <v>34</v>
      </c>
      <c r="I87" t="s">
        <v>512</v>
      </c>
      <c r="J87" t="s">
        <v>522</v>
      </c>
      <c r="M87" t="s">
        <v>133</v>
      </c>
      <c r="O87" t="s">
        <v>513</v>
      </c>
    </row>
    <row r="88" spans="1:15" x14ac:dyDescent="0.25">
      <c r="A88" s="18" t="s">
        <v>32</v>
      </c>
      <c r="C88" t="s">
        <v>565</v>
      </c>
      <c r="D88" s="18" t="s">
        <v>50</v>
      </c>
      <c r="E88" t="s">
        <v>511</v>
      </c>
      <c r="F88" s="18" t="s">
        <v>497</v>
      </c>
      <c r="H88" s="18" t="s">
        <v>34</v>
      </c>
      <c r="I88" t="s">
        <v>512</v>
      </c>
      <c r="J88" t="s">
        <v>523</v>
      </c>
      <c r="M88" t="s">
        <v>133</v>
      </c>
      <c r="O88" t="s">
        <v>513</v>
      </c>
    </row>
    <row r="89" spans="1:15" x14ac:dyDescent="0.25">
      <c r="A89" s="18" t="s">
        <v>32</v>
      </c>
      <c r="C89" t="s">
        <v>565</v>
      </c>
      <c r="D89" s="18" t="s">
        <v>50</v>
      </c>
      <c r="E89" t="s">
        <v>511</v>
      </c>
      <c r="F89" s="18" t="s">
        <v>497</v>
      </c>
      <c r="H89" s="18" t="s">
        <v>34</v>
      </c>
      <c r="I89" t="s">
        <v>512</v>
      </c>
      <c r="J89" t="s">
        <v>524</v>
      </c>
      <c r="M89" t="s">
        <v>133</v>
      </c>
      <c r="O89" t="s">
        <v>513</v>
      </c>
    </row>
    <row r="90" spans="1:15" x14ac:dyDescent="0.25">
      <c r="A90" s="18" t="s">
        <v>32</v>
      </c>
      <c r="C90" t="s">
        <v>565</v>
      </c>
      <c r="D90" s="18" t="s">
        <v>50</v>
      </c>
      <c r="E90" t="s">
        <v>511</v>
      </c>
      <c r="F90" s="18" t="s">
        <v>497</v>
      </c>
      <c r="H90" s="18" t="s">
        <v>34</v>
      </c>
      <c r="I90" t="s">
        <v>512</v>
      </c>
      <c r="J90" t="s">
        <v>525</v>
      </c>
      <c r="M90" t="s">
        <v>133</v>
      </c>
      <c r="O90" t="s">
        <v>513</v>
      </c>
    </row>
    <row r="91" spans="1:15" x14ac:dyDescent="0.25">
      <c r="A91" s="18" t="s">
        <v>32</v>
      </c>
      <c r="C91" t="s">
        <v>565</v>
      </c>
      <c r="D91" s="18" t="s">
        <v>50</v>
      </c>
      <c r="E91" t="s">
        <v>511</v>
      </c>
      <c r="F91" s="18" t="s">
        <v>497</v>
      </c>
      <c r="H91" s="18" t="s">
        <v>34</v>
      </c>
      <c r="I91" t="s">
        <v>512</v>
      </c>
      <c r="J91" t="s">
        <v>526</v>
      </c>
      <c r="M91" t="s">
        <v>133</v>
      </c>
      <c r="O91" t="s">
        <v>513</v>
      </c>
    </row>
    <row r="92" spans="1:15" x14ac:dyDescent="0.25">
      <c r="A92" s="18" t="s">
        <v>32</v>
      </c>
      <c r="C92" t="s">
        <v>565</v>
      </c>
      <c r="D92" s="18" t="s">
        <v>50</v>
      </c>
      <c r="E92" t="s">
        <v>511</v>
      </c>
      <c r="F92" s="18" t="s">
        <v>497</v>
      </c>
      <c r="H92" s="18" t="s">
        <v>34</v>
      </c>
      <c r="I92" t="s">
        <v>512</v>
      </c>
      <c r="J92" t="s">
        <v>527</v>
      </c>
      <c r="M92" t="s">
        <v>133</v>
      </c>
      <c r="O92" t="s">
        <v>513</v>
      </c>
    </row>
    <row r="93" spans="1:15" x14ac:dyDescent="0.25">
      <c r="A93" s="18" t="s">
        <v>32</v>
      </c>
      <c r="C93" t="s">
        <v>565</v>
      </c>
      <c r="D93" s="18" t="s">
        <v>50</v>
      </c>
      <c r="E93" t="s">
        <v>511</v>
      </c>
      <c r="F93" s="18" t="s">
        <v>497</v>
      </c>
      <c r="H93" s="18" t="s">
        <v>34</v>
      </c>
      <c r="I93" t="s">
        <v>512</v>
      </c>
      <c r="J93" t="s">
        <v>528</v>
      </c>
      <c r="M93" t="s">
        <v>133</v>
      </c>
      <c r="O93" t="s">
        <v>513</v>
      </c>
    </row>
    <row r="94" spans="1:15" x14ac:dyDescent="0.25">
      <c r="A94" s="18" t="s">
        <v>32</v>
      </c>
      <c r="C94" t="s">
        <v>565</v>
      </c>
      <c r="D94" s="18" t="s">
        <v>50</v>
      </c>
      <c r="E94" t="s">
        <v>511</v>
      </c>
      <c r="F94" s="18" t="s">
        <v>497</v>
      </c>
      <c r="H94" s="18" t="s">
        <v>34</v>
      </c>
      <c r="I94" t="s">
        <v>512</v>
      </c>
      <c r="J94" t="s">
        <v>529</v>
      </c>
      <c r="M94" t="s">
        <v>133</v>
      </c>
      <c r="O94" t="s">
        <v>513</v>
      </c>
    </row>
    <row r="95" spans="1:15" x14ac:dyDescent="0.25">
      <c r="A95" s="18" t="s">
        <v>32</v>
      </c>
      <c r="C95" t="s">
        <v>565</v>
      </c>
      <c r="D95" s="18" t="s">
        <v>50</v>
      </c>
      <c r="E95" t="s">
        <v>511</v>
      </c>
      <c r="F95" s="18" t="s">
        <v>497</v>
      </c>
      <c r="H95" s="18" t="s">
        <v>34</v>
      </c>
      <c r="I95" t="s">
        <v>512</v>
      </c>
      <c r="J95" t="s">
        <v>530</v>
      </c>
      <c r="M95" t="s">
        <v>133</v>
      </c>
      <c r="O95" t="s">
        <v>513</v>
      </c>
    </row>
    <row r="96" spans="1:15" x14ac:dyDescent="0.25">
      <c r="A96" s="18" t="s">
        <v>32</v>
      </c>
      <c r="C96" t="s">
        <v>565</v>
      </c>
      <c r="D96" s="18" t="s">
        <v>50</v>
      </c>
      <c r="E96" t="s">
        <v>511</v>
      </c>
      <c r="F96" s="18" t="s">
        <v>497</v>
      </c>
      <c r="H96" s="18" t="s">
        <v>34</v>
      </c>
      <c r="I96" t="s">
        <v>512</v>
      </c>
      <c r="J96" t="s">
        <v>531</v>
      </c>
      <c r="M96" t="s">
        <v>133</v>
      </c>
      <c r="O96" t="s">
        <v>513</v>
      </c>
    </row>
    <row r="97" spans="1:15" x14ac:dyDescent="0.25">
      <c r="A97" s="18" t="s">
        <v>32</v>
      </c>
      <c r="C97" t="s">
        <v>565</v>
      </c>
      <c r="D97" s="18" t="s">
        <v>50</v>
      </c>
      <c r="E97" t="s">
        <v>511</v>
      </c>
      <c r="F97" s="18" t="s">
        <v>497</v>
      </c>
      <c r="H97" s="18" t="s">
        <v>34</v>
      </c>
      <c r="I97" t="s">
        <v>512</v>
      </c>
      <c r="J97" t="s">
        <v>532</v>
      </c>
      <c r="M97" t="s">
        <v>133</v>
      </c>
      <c r="O97" t="s">
        <v>513</v>
      </c>
    </row>
    <row r="98" spans="1:15" x14ac:dyDescent="0.25">
      <c r="A98" s="18" t="s">
        <v>32</v>
      </c>
      <c r="C98" t="s">
        <v>565</v>
      </c>
      <c r="D98" s="18" t="s">
        <v>50</v>
      </c>
      <c r="E98" t="s">
        <v>511</v>
      </c>
      <c r="F98" s="18" t="s">
        <v>497</v>
      </c>
      <c r="H98" s="18" t="s">
        <v>34</v>
      </c>
      <c r="I98" t="s">
        <v>512</v>
      </c>
      <c r="J98" t="s">
        <v>533</v>
      </c>
      <c r="M98" t="s">
        <v>133</v>
      </c>
      <c r="O98" t="s">
        <v>513</v>
      </c>
    </row>
    <row r="99" spans="1:15" x14ac:dyDescent="0.25">
      <c r="A99" s="18" t="s">
        <v>32</v>
      </c>
      <c r="C99" t="s">
        <v>565</v>
      </c>
      <c r="D99" s="18" t="s">
        <v>50</v>
      </c>
      <c r="E99" t="s">
        <v>511</v>
      </c>
      <c r="F99" s="18" t="s">
        <v>497</v>
      </c>
      <c r="H99" s="18" t="s">
        <v>34</v>
      </c>
      <c r="I99" t="s">
        <v>512</v>
      </c>
      <c r="J99" t="s">
        <v>534</v>
      </c>
      <c r="M99" t="s">
        <v>133</v>
      </c>
      <c r="O99" t="s">
        <v>513</v>
      </c>
    </row>
    <row r="100" spans="1:15" x14ac:dyDescent="0.25">
      <c r="A100" s="18" t="s">
        <v>32</v>
      </c>
      <c r="C100" t="s">
        <v>565</v>
      </c>
      <c r="D100" s="18" t="s">
        <v>50</v>
      </c>
      <c r="E100" t="s">
        <v>511</v>
      </c>
      <c r="F100" s="18" t="s">
        <v>497</v>
      </c>
      <c r="H100" s="18" t="s">
        <v>34</v>
      </c>
      <c r="I100" t="s">
        <v>512</v>
      </c>
      <c r="J100" t="s">
        <v>535</v>
      </c>
      <c r="M100" t="s">
        <v>133</v>
      </c>
      <c r="O100" t="s">
        <v>513</v>
      </c>
    </row>
    <row r="101" spans="1:15" x14ac:dyDescent="0.25">
      <c r="A101" s="18" t="s">
        <v>32</v>
      </c>
      <c r="C101" t="s">
        <v>565</v>
      </c>
      <c r="D101" s="18" t="s">
        <v>50</v>
      </c>
      <c r="E101" t="s">
        <v>511</v>
      </c>
      <c r="F101" s="18" t="s">
        <v>497</v>
      </c>
      <c r="H101" s="18" t="s">
        <v>34</v>
      </c>
      <c r="I101" t="s">
        <v>512</v>
      </c>
      <c r="J101" t="s">
        <v>536</v>
      </c>
      <c r="M101" t="s">
        <v>133</v>
      </c>
      <c r="O101" t="s">
        <v>513</v>
      </c>
    </row>
    <row r="102" spans="1:15" x14ac:dyDescent="0.25">
      <c r="A102" s="18" t="s">
        <v>32</v>
      </c>
      <c r="C102" t="s">
        <v>565</v>
      </c>
      <c r="D102" s="18" t="s">
        <v>50</v>
      </c>
      <c r="E102" t="s">
        <v>511</v>
      </c>
      <c r="F102" s="18" t="s">
        <v>497</v>
      </c>
      <c r="H102" s="18" t="s">
        <v>34</v>
      </c>
      <c r="I102" t="s">
        <v>512</v>
      </c>
      <c r="J102" t="s">
        <v>537</v>
      </c>
      <c r="M102" t="s">
        <v>133</v>
      </c>
      <c r="O102" t="s">
        <v>513</v>
      </c>
    </row>
    <row r="103" spans="1:15" x14ac:dyDescent="0.25">
      <c r="A103" s="18" t="s">
        <v>32</v>
      </c>
      <c r="C103" t="s">
        <v>565</v>
      </c>
      <c r="D103" s="18" t="s">
        <v>50</v>
      </c>
      <c r="E103" t="s">
        <v>511</v>
      </c>
      <c r="F103" s="18" t="s">
        <v>497</v>
      </c>
      <c r="H103" s="18" t="s">
        <v>34</v>
      </c>
      <c r="I103" t="s">
        <v>512</v>
      </c>
      <c r="J103" t="s">
        <v>538</v>
      </c>
      <c r="M103" t="s">
        <v>133</v>
      </c>
      <c r="O103" t="s">
        <v>513</v>
      </c>
    </row>
    <row r="104" spans="1:15" x14ac:dyDescent="0.25">
      <c r="A104" s="18" t="s">
        <v>32</v>
      </c>
      <c r="C104" t="s">
        <v>565</v>
      </c>
      <c r="D104" s="18" t="s">
        <v>50</v>
      </c>
      <c r="E104" t="s">
        <v>511</v>
      </c>
      <c r="F104" s="18" t="s">
        <v>497</v>
      </c>
      <c r="H104" s="18" t="s">
        <v>34</v>
      </c>
      <c r="I104" t="s">
        <v>512</v>
      </c>
      <c r="J104" t="s">
        <v>539</v>
      </c>
      <c r="M104" t="s">
        <v>133</v>
      </c>
      <c r="O104" t="s">
        <v>513</v>
      </c>
    </row>
    <row r="105" spans="1:15" x14ac:dyDescent="0.25">
      <c r="A105" s="18" t="s">
        <v>32</v>
      </c>
      <c r="C105" t="s">
        <v>565</v>
      </c>
      <c r="D105" s="18" t="s">
        <v>50</v>
      </c>
      <c r="E105" t="s">
        <v>511</v>
      </c>
      <c r="F105" s="18" t="s">
        <v>497</v>
      </c>
      <c r="H105" s="18" t="s">
        <v>34</v>
      </c>
      <c r="I105" t="s">
        <v>512</v>
      </c>
      <c r="J105" t="s">
        <v>540</v>
      </c>
      <c r="M105" t="s">
        <v>133</v>
      </c>
      <c r="O105" t="s">
        <v>513</v>
      </c>
    </row>
    <row r="106" spans="1:15" x14ac:dyDescent="0.25">
      <c r="A106" s="18" t="s">
        <v>32</v>
      </c>
      <c r="C106" t="s">
        <v>565</v>
      </c>
      <c r="D106" s="18" t="s">
        <v>50</v>
      </c>
      <c r="E106" t="s">
        <v>511</v>
      </c>
      <c r="F106" s="18" t="s">
        <v>497</v>
      </c>
      <c r="H106" s="18" t="s">
        <v>34</v>
      </c>
      <c r="I106" t="s">
        <v>512</v>
      </c>
      <c r="J106" t="s">
        <v>541</v>
      </c>
      <c r="M106" t="s">
        <v>133</v>
      </c>
      <c r="O106" t="s">
        <v>513</v>
      </c>
    </row>
    <row r="107" spans="1:15" x14ac:dyDescent="0.25">
      <c r="A107" s="18" t="s">
        <v>32</v>
      </c>
      <c r="C107" t="s">
        <v>565</v>
      </c>
      <c r="D107" s="18" t="s">
        <v>50</v>
      </c>
      <c r="E107" t="s">
        <v>511</v>
      </c>
      <c r="F107" s="18" t="s">
        <v>497</v>
      </c>
      <c r="H107" s="18" t="s">
        <v>34</v>
      </c>
      <c r="I107" t="s">
        <v>512</v>
      </c>
      <c r="J107" t="s">
        <v>542</v>
      </c>
      <c r="M107" t="s">
        <v>133</v>
      </c>
      <c r="O107" t="s">
        <v>513</v>
      </c>
    </row>
    <row r="108" spans="1:15" x14ac:dyDescent="0.25">
      <c r="A108" s="18" t="s">
        <v>32</v>
      </c>
      <c r="C108" t="s">
        <v>565</v>
      </c>
      <c r="D108" s="18" t="s">
        <v>50</v>
      </c>
      <c r="E108" t="s">
        <v>511</v>
      </c>
      <c r="F108" s="18" t="s">
        <v>497</v>
      </c>
      <c r="H108" s="18" t="s">
        <v>34</v>
      </c>
      <c r="I108" t="s">
        <v>512</v>
      </c>
      <c r="J108" t="s">
        <v>543</v>
      </c>
      <c r="M108" t="s">
        <v>133</v>
      </c>
      <c r="O108" t="s">
        <v>513</v>
      </c>
    </row>
    <row r="109" spans="1:15" x14ac:dyDescent="0.25">
      <c r="A109" s="18" t="s">
        <v>32</v>
      </c>
      <c r="C109" t="s">
        <v>565</v>
      </c>
      <c r="D109" s="18" t="s">
        <v>50</v>
      </c>
      <c r="E109" t="s">
        <v>511</v>
      </c>
      <c r="F109" s="18" t="s">
        <v>497</v>
      </c>
      <c r="H109" s="18" t="s">
        <v>34</v>
      </c>
      <c r="I109" t="s">
        <v>512</v>
      </c>
      <c r="J109" t="s">
        <v>544</v>
      </c>
      <c r="M109" t="s">
        <v>133</v>
      </c>
      <c r="O109" t="s">
        <v>513</v>
      </c>
    </row>
    <row r="110" spans="1:15" x14ac:dyDescent="0.25">
      <c r="A110" s="18" t="s">
        <v>32</v>
      </c>
      <c r="C110" t="s">
        <v>565</v>
      </c>
      <c r="D110" s="18" t="s">
        <v>50</v>
      </c>
      <c r="E110" t="s">
        <v>511</v>
      </c>
      <c r="F110" s="18" t="s">
        <v>497</v>
      </c>
      <c r="H110" s="18" t="s">
        <v>34</v>
      </c>
      <c r="I110" t="s">
        <v>512</v>
      </c>
      <c r="J110" t="s">
        <v>545</v>
      </c>
      <c r="M110" t="s">
        <v>133</v>
      </c>
      <c r="O110" t="s">
        <v>513</v>
      </c>
    </row>
    <row r="111" spans="1:15" x14ac:dyDescent="0.25">
      <c r="A111" s="18" t="s">
        <v>32</v>
      </c>
      <c r="C111" t="s">
        <v>565</v>
      </c>
      <c r="D111" s="18" t="s">
        <v>50</v>
      </c>
      <c r="E111" t="s">
        <v>511</v>
      </c>
      <c r="F111" s="18" t="s">
        <v>497</v>
      </c>
      <c r="H111" s="18" t="s">
        <v>34</v>
      </c>
      <c r="I111" t="s">
        <v>512</v>
      </c>
      <c r="J111" t="s">
        <v>546</v>
      </c>
      <c r="M111" t="s">
        <v>133</v>
      </c>
      <c r="O111" t="s">
        <v>513</v>
      </c>
    </row>
    <row r="112" spans="1:15" x14ac:dyDescent="0.25">
      <c r="A112" s="18" t="s">
        <v>32</v>
      </c>
      <c r="C112" t="s">
        <v>565</v>
      </c>
      <c r="D112" s="18" t="s">
        <v>50</v>
      </c>
      <c r="E112" t="s">
        <v>511</v>
      </c>
      <c r="F112" s="18" t="s">
        <v>497</v>
      </c>
      <c r="H112" s="18" t="s">
        <v>34</v>
      </c>
      <c r="I112" t="s">
        <v>512</v>
      </c>
      <c r="J112" t="s">
        <v>547</v>
      </c>
      <c r="M112" t="s">
        <v>133</v>
      </c>
      <c r="O112" t="s">
        <v>513</v>
      </c>
    </row>
    <row r="113" spans="1:15" x14ac:dyDescent="0.25">
      <c r="A113" s="18" t="s">
        <v>32</v>
      </c>
      <c r="C113" t="s">
        <v>565</v>
      </c>
      <c r="D113" s="18" t="s">
        <v>50</v>
      </c>
      <c r="E113" t="s">
        <v>511</v>
      </c>
      <c r="F113" s="18" t="s">
        <v>497</v>
      </c>
      <c r="H113" s="18" t="s">
        <v>34</v>
      </c>
      <c r="I113" t="s">
        <v>512</v>
      </c>
      <c r="J113" t="s">
        <v>548</v>
      </c>
      <c r="M113" t="s">
        <v>133</v>
      </c>
      <c r="O113" t="s">
        <v>513</v>
      </c>
    </row>
    <row r="114" spans="1:15" x14ac:dyDescent="0.25">
      <c r="A114" s="18" t="s">
        <v>32</v>
      </c>
      <c r="C114" t="s">
        <v>565</v>
      </c>
      <c r="D114" s="18" t="s">
        <v>50</v>
      </c>
      <c r="E114" t="s">
        <v>511</v>
      </c>
      <c r="F114" s="18" t="s">
        <v>497</v>
      </c>
      <c r="H114" s="18" t="s">
        <v>34</v>
      </c>
      <c r="I114" t="s">
        <v>512</v>
      </c>
      <c r="J114" t="s">
        <v>549</v>
      </c>
      <c r="M114" t="s">
        <v>133</v>
      </c>
      <c r="O114" t="s">
        <v>513</v>
      </c>
    </row>
    <row r="115" spans="1:15" x14ac:dyDescent="0.25">
      <c r="A115" s="18" t="s">
        <v>32</v>
      </c>
      <c r="C115" t="s">
        <v>565</v>
      </c>
      <c r="D115" s="18" t="s">
        <v>50</v>
      </c>
      <c r="E115" t="s">
        <v>511</v>
      </c>
      <c r="F115" s="18" t="s">
        <v>497</v>
      </c>
      <c r="H115" s="18" t="s">
        <v>34</v>
      </c>
      <c r="I115" t="s">
        <v>512</v>
      </c>
      <c r="J115" t="s">
        <v>550</v>
      </c>
      <c r="M115" t="s">
        <v>133</v>
      </c>
      <c r="O115" t="s">
        <v>513</v>
      </c>
    </row>
    <row r="116" spans="1:15" x14ac:dyDescent="0.25">
      <c r="A116" s="18" t="s">
        <v>32</v>
      </c>
      <c r="C116" t="s">
        <v>565</v>
      </c>
      <c r="D116" s="18" t="s">
        <v>50</v>
      </c>
      <c r="E116" t="s">
        <v>511</v>
      </c>
      <c r="F116" s="18" t="s">
        <v>497</v>
      </c>
      <c r="H116" s="18" t="s">
        <v>34</v>
      </c>
      <c r="I116" t="s">
        <v>512</v>
      </c>
      <c r="J116" t="s">
        <v>551</v>
      </c>
      <c r="M116" t="s">
        <v>133</v>
      </c>
      <c r="O116" t="s">
        <v>513</v>
      </c>
    </row>
    <row r="117" spans="1:15" x14ac:dyDescent="0.25">
      <c r="A117" s="18" t="s">
        <v>32</v>
      </c>
      <c r="C117" t="s">
        <v>565</v>
      </c>
      <c r="D117" s="18" t="s">
        <v>50</v>
      </c>
      <c r="E117" t="s">
        <v>511</v>
      </c>
      <c r="F117" s="18" t="s">
        <v>497</v>
      </c>
      <c r="H117" s="18" t="s">
        <v>34</v>
      </c>
      <c r="I117" t="s">
        <v>512</v>
      </c>
      <c r="J117" t="s">
        <v>552</v>
      </c>
      <c r="M117" t="s">
        <v>133</v>
      </c>
      <c r="O117" t="s">
        <v>513</v>
      </c>
    </row>
    <row r="118" spans="1:15" x14ac:dyDescent="0.25">
      <c r="A118" s="18" t="s">
        <v>32</v>
      </c>
      <c r="C118" t="s">
        <v>565</v>
      </c>
      <c r="D118" s="18" t="s">
        <v>50</v>
      </c>
      <c r="E118" t="s">
        <v>511</v>
      </c>
      <c r="F118" s="18" t="s">
        <v>497</v>
      </c>
      <c r="H118" s="18" t="s">
        <v>34</v>
      </c>
      <c r="I118" t="s">
        <v>512</v>
      </c>
      <c r="J118" t="s">
        <v>553</v>
      </c>
      <c r="M118" t="s">
        <v>133</v>
      </c>
      <c r="O118" t="s">
        <v>513</v>
      </c>
    </row>
    <row r="119" spans="1:15" x14ac:dyDescent="0.25">
      <c r="A119" s="18" t="s">
        <v>32</v>
      </c>
      <c r="C119" t="s">
        <v>565</v>
      </c>
      <c r="D119" s="18" t="s">
        <v>50</v>
      </c>
      <c r="E119" t="s">
        <v>511</v>
      </c>
      <c r="F119" s="18" t="s">
        <v>497</v>
      </c>
      <c r="H119" s="18" t="s">
        <v>34</v>
      </c>
      <c r="I119" t="s">
        <v>512</v>
      </c>
      <c r="J119" t="s">
        <v>554</v>
      </c>
      <c r="M119" t="s">
        <v>133</v>
      </c>
      <c r="O119" t="s">
        <v>513</v>
      </c>
    </row>
    <row r="120" spans="1:15" x14ac:dyDescent="0.25">
      <c r="A120" s="18" t="s">
        <v>32</v>
      </c>
      <c r="C120" t="s">
        <v>565</v>
      </c>
      <c r="D120" s="18" t="s">
        <v>50</v>
      </c>
      <c r="E120" t="s">
        <v>511</v>
      </c>
      <c r="F120" s="18" t="s">
        <v>497</v>
      </c>
      <c r="H120" s="18" t="s">
        <v>34</v>
      </c>
      <c r="I120" t="s">
        <v>512</v>
      </c>
      <c r="J120" t="s">
        <v>555</v>
      </c>
      <c r="M120" t="s">
        <v>133</v>
      </c>
      <c r="O120" t="s">
        <v>513</v>
      </c>
    </row>
    <row r="121" spans="1:15" x14ac:dyDescent="0.25">
      <c r="A121" s="18" t="s">
        <v>32</v>
      </c>
      <c r="C121" t="s">
        <v>565</v>
      </c>
      <c r="D121" s="18" t="s">
        <v>50</v>
      </c>
      <c r="E121" t="s">
        <v>511</v>
      </c>
      <c r="F121" s="18" t="s">
        <v>497</v>
      </c>
      <c r="H121" s="18" t="s">
        <v>34</v>
      </c>
      <c r="I121" t="s">
        <v>512</v>
      </c>
      <c r="J121" t="s">
        <v>556</v>
      </c>
      <c r="M121" t="s">
        <v>133</v>
      </c>
      <c r="O121" t="s">
        <v>513</v>
      </c>
    </row>
    <row r="122" spans="1:15" x14ac:dyDescent="0.25">
      <c r="A122" s="18" t="s">
        <v>32</v>
      </c>
      <c r="C122" t="s">
        <v>565</v>
      </c>
      <c r="D122" s="18" t="s">
        <v>50</v>
      </c>
      <c r="E122" t="s">
        <v>511</v>
      </c>
      <c r="F122" s="18" t="s">
        <v>497</v>
      </c>
      <c r="H122" s="18" t="s">
        <v>34</v>
      </c>
      <c r="I122" t="s">
        <v>512</v>
      </c>
      <c r="J122" t="s">
        <v>557</v>
      </c>
      <c r="M122" t="s">
        <v>133</v>
      </c>
      <c r="O122" t="s">
        <v>513</v>
      </c>
    </row>
    <row r="123" spans="1:15" x14ac:dyDescent="0.25">
      <c r="A123" s="18" t="s">
        <v>32</v>
      </c>
      <c r="C123" t="s">
        <v>565</v>
      </c>
      <c r="D123" s="18" t="s">
        <v>50</v>
      </c>
      <c r="E123" t="s">
        <v>511</v>
      </c>
      <c r="F123" s="18" t="s">
        <v>497</v>
      </c>
      <c r="H123" s="18" t="s">
        <v>34</v>
      </c>
      <c r="I123" t="s">
        <v>512</v>
      </c>
      <c r="J123" t="s">
        <v>558</v>
      </c>
      <c r="M123" t="s">
        <v>133</v>
      </c>
      <c r="O123" t="s">
        <v>513</v>
      </c>
    </row>
    <row r="124" spans="1:15" x14ac:dyDescent="0.25">
      <c r="A124" s="18" t="s">
        <v>32</v>
      </c>
      <c r="C124" t="s">
        <v>565</v>
      </c>
      <c r="D124" s="18" t="s">
        <v>50</v>
      </c>
      <c r="E124" t="s">
        <v>511</v>
      </c>
      <c r="F124" s="18" t="s">
        <v>497</v>
      </c>
      <c r="H124" s="18" t="s">
        <v>34</v>
      </c>
      <c r="I124" t="s">
        <v>512</v>
      </c>
      <c r="J124" t="s">
        <v>559</v>
      </c>
      <c r="M124" t="s">
        <v>133</v>
      </c>
      <c r="O124" t="s">
        <v>513</v>
      </c>
    </row>
    <row r="125" spans="1:15" x14ac:dyDescent="0.25">
      <c r="A125" s="18" t="s">
        <v>32</v>
      </c>
      <c r="C125" t="s">
        <v>565</v>
      </c>
      <c r="D125" s="18" t="s">
        <v>50</v>
      </c>
      <c r="E125" t="s">
        <v>511</v>
      </c>
      <c r="F125" s="18" t="s">
        <v>497</v>
      </c>
      <c r="H125" s="18" t="s">
        <v>34</v>
      </c>
      <c r="I125" t="s">
        <v>512</v>
      </c>
      <c r="J125" t="s">
        <v>560</v>
      </c>
      <c r="M125" t="s">
        <v>133</v>
      </c>
      <c r="O125" t="s">
        <v>513</v>
      </c>
    </row>
    <row r="126" spans="1:15" x14ac:dyDescent="0.25">
      <c r="A126" s="18" t="s">
        <v>32</v>
      </c>
      <c r="C126" t="s">
        <v>565</v>
      </c>
      <c r="D126" s="18" t="s">
        <v>50</v>
      </c>
      <c r="E126" t="s">
        <v>511</v>
      </c>
      <c r="F126" s="18" t="s">
        <v>497</v>
      </c>
      <c r="H126" s="18" t="s">
        <v>34</v>
      </c>
      <c r="I126" t="s">
        <v>512</v>
      </c>
      <c r="J126" t="s">
        <v>561</v>
      </c>
      <c r="M126" t="s">
        <v>133</v>
      </c>
      <c r="O126" t="s">
        <v>513</v>
      </c>
    </row>
    <row r="127" spans="1:15" x14ac:dyDescent="0.25">
      <c r="A127" s="18" t="s">
        <v>32</v>
      </c>
      <c r="C127" t="s">
        <v>565</v>
      </c>
      <c r="D127" s="18" t="s">
        <v>50</v>
      </c>
      <c r="E127" t="s">
        <v>511</v>
      </c>
      <c r="F127" s="18" t="s">
        <v>497</v>
      </c>
      <c r="H127" s="18" t="s">
        <v>34</v>
      </c>
      <c r="I127" t="s">
        <v>512</v>
      </c>
      <c r="J127" t="s">
        <v>562</v>
      </c>
      <c r="M127" t="s">
        <v>133</v>
      </c>
      <c r="O127" t="s">
        <v>513</v>
      </c>
    </row>
    <row r="128" spans="1:15" x14ac:dyDescent="0.25">
      <c r="A128" s="18" t="s">
        <v>32</v>
      </c>
      <c r="C128" t="s">
        <v>565</v>
      </c>
      <c r="D128" s="18" t="s">
        <v>50</v>
      </c>
      <c r="E128" t="s">
        <v>511</v>
      </c>
      <c r="F128" s="18" t="s">
        <v>497</v>
      </c>
      <c r="H128" s="18" t="s">
        <v>34</v>
      </c>
      <c r="I128" t="s">
        <v>512</v>
      </c>
      <c r="J128" t="s">
        <v>563</v>
      </c>
      <c r="M128" t="s">
        <v>133</v>
      </c>
      <c r="O128" t="s">
        <v>513</v>
      </c>
    </row>
    <row r="129" spans="1:15" x14ac:dyDescent="0.25">
      <c r="A129" s="18" t="s">
        <v>32</v>
      </c>
      <c r="C129" t="s">
        <v>565</v>
      </c>
      <c r="D129" s="18" t="s">
        <v>50</v>
      </c>
      <c r="E129" t="s">
        <v>511</v>
      </c>
      <c r="F129" s="18" t="s">
        <v>497</v>
      </c>
      <c r="H129" s="18" t="s">
        <v>34</v>
      </c>
      <c r="I129" t="s">
        <v>512</v>
      </c>
      <c r="J129" t="s">
        <v>564</v>
      </c>
      <c r="M129" t="s">
        <v>133</v>
      </c>
      <c r="O129" t="s">
        <v>513</v>
      </c>
    </row>
    <row r="130" spans="1:15" x14ac:dyDescent="0.25">
      <c r="A130" s="18" t="s">
        <v>577</v>
      </c>
      <c r="C130" t="s">
        <v>565</v>
      </c>
      <c r="D130" s="18" t="s">
        <v>50</v>
      </c>
      <c r="E130" t="s">
        <v>566</v>
      </c>
      <c r="F130" s="18" t="s">
        <v>497</v>
      </c>
      <c r="H130" s="18" t="s">
        <v>578</v>
      </c>
      <c r="I130" t="s">
        <v>579</v>
      </c>
      <c r="J130" t="s">
        <v>583</v>
      </c>
    </row>
    <row r="131" spans="1:15" x14ac:dyDescent="0.25">
      <c r="A131" s="18" t="s">
        <v>577</v>
      </c>
      <c r="C131" t="s">
        <v>565</v>
      </c>
      <c r="D131" s="18" t="s">
        <v>50</v>
      </c>
      <c r="E131" t="s">
        <v>567</v>
      </c>
      <c r="F131" s="18" t="s">
        <v>497</v>
      </c>
      <c r="H131" s="18" t="s">
        <v>578</v>
      </c>
      <c r="I131" t="s">
        <v>580</v>
      </c>
      <c r="J131" t="s">
        <v>584</v>
      </c>
    </row>
    <row r="132" spans="1:15" x14ac:dyDescent="0.25">
      <c r="A132" s="18" t="s">
        <v>577</v>
      </c>
      <c r="C132" t="s">
        <v>565</v>
      </c>
      <c r="D132" s="18" t="s">
        <v>50</v>
      </c>
      <c r="E132" t="s">
        <v>568</v>
      </c>
      <c r="F132" s="18" t="s">
        <v>497</v>
      </c>
      <c r="H132" s="18" t="s">
        <v>578</v>
      </c>
      <c r="I132" t="s">
        <v>580</v>
      </c>
      <c r="J132" t="s">
        <v>585</v>
      </c>
    </row>
    <row r="133" spans="1:15" x14ac:dyDescent="0.25">
      <c r="A133" s="18" t="s">
        <v>577</v>
      </c>
      <c r="C133" t="s">
        <v>565</v>
      </c>
      <c r="D133" s="18" t="s">
        <v>50</v>
      </c>
      <c r="E133" t="s">
        <v>569</v>
      </c>
      <c r="F133" s="18" t="s">
        <v>497</v>
      </c>
      <c r="H133" s="18" t="s">
        <v>578</v>
      </c>
      <c r="I133" t="s">
        <v>581</v>
      </c>
      <c r="J133" t="s">
        <v>586</v>
      </c>
    </row>
    <row r="134" spans="1:15" x14ac:dyDescent="0.25">
      <c r="A134" s="18" t="s">
        <v>577</v>
      </c>
      <c r="C134" t="s">
        <v>565</v>
      </c>
      <c r="D134" s="18" t="s">
        <v>50</v>
      </c>
      <c r="E134" t="s">
        <v>570</v>
      </c>
      <c r="F134" s="18" t="s">
        <v>497</v>
      </c>
      <c r="H134" s="18" t="s">
        <v>578</v>
      </c>
      <c r="I134" t="s">
        <v>581</v>
      </c>
      <c r="J134" t="s">
        <v>587</v>
      </c>
    </row>
    <row r="135" spans="1:15" x14ac:dyDescent="0.25">
      <c r="A135" s="18" t="s">
        <v>577</v>
      </c>
      <c r="C135" t="s">
        <v>565</v>
      </c>
      <c r="D135" s="18" t="s">
        <v>50</v>
      </c>
      <c r="E135" t="s">
        <v>571</v>
      </c>
      <c r="F135" s="18" t="s">
        <v>497</v>
      </c>
      <c r="H135" s="18" t="s">
        <v>578</v>
      </c>
      <c r="I135" t="s">
        <v>581</v>
      </c>
      <c r="J135" t="s">
        <v>588</v>
      </c>
    </row>
    <row r="136" spans="1:15" x14ac:dyDescent="0.25">
      <c r="A136" s="18" t="s">
        <v>577</v>
      </c>
      <c r="C136" t="s">
        <v>565</v>
      </c>
      <c r="D136" s="18" t="s">
        <v>50</v>
      </c>
      <c r="E136" t="s">
        <v>572</v>
      </c>
      <c r="F136" s="18" t="s">
        <v>497</v>
      </c>
      <c r="H136" s="18" t="s">
        <v>578</v>
      </c>
      <c r="I136" t="s">
        <v>580</v>
      </c>
      <c r="J136" t="s">
        <v>589</v>
      </c>
    </row>
    <row r="137" spans="1:15" x14ac:dyDescent="0.25">
      <c r="A137" s="18" t="s">
        <v>577</v>
      </c>
      <c r="C137" t="s">
        <v>565</v>
      </c>
      <c r="D137" s="18" t="s">
        <v>50</v>
      </c>
      <c r="E137" t="s">
        <v>573</v>
      </c>
      <c r="F137" s="18" t="s">
        <v>497</v>
      </c>
      <c r="H137" s="18" t="s">
        <v>578</v>
      </c>
      <c r="I137" t="s">
        <v>582</v>
      </c>
      <c r="J137" t="s">
        <v>590</v>
      </c>
    </row>
    <row r="138" spans="1:15" x14ac:dyDescent="0.25">
      <c r="A138" s="18" t="s">
        <v>577</v>
      </c>
      <c r="C138" t="s">
        <v>565</v>
      </c>
      <c r="D138" s="18" t="s">
        <v>50</v>
      </c>
      <c r="E138" t="s">
        <v>574</v>
      </c>
      <c r="F138" s="18" t="s">
        <v>497</v>
      </c>
      <c r="H138" s="18" t="s">
        <v>578</v>
      </c>
      <c r="I138" t="s">
        <v>582</v>
      </c>
      <c r="J138" t="s">
        <v>591</v>
      </c>
    </row>
    <row r="139" spans="1:15" x14ac:dyDescent="0.25">
      <c r="A139" s="18" t="s">
        <v>577</v>
      </c>
      <c r="C139" t="s">
        <v>565</v>
      </c>
      <c r="D139" s="18" t="s">
        <v>50</v>
      </c>
      <c r="E139" t="s">
        <v>575</v>
      </c>
      <c r="F139" s="18" t="s">
        <v>497</v>
      </c>
      <c r="H139" s="18" t="s">
        <v>578</v>
      </c>
      <c r="I139" t="s">
        <v>582</v>
      </c>
      <c r="J139" t="s">
        <v>592</v>
      </c>
    </row>
    <row r="140" spans="1:15" x14ac:dyDescent="0.25">
      <c r="A140" s="18" t="s">
        <v>577</v>
      </c>
      <c r="C140" t="s">
        <v>565</v>
      </c>
      <c r="D140" s="18" t="s">
        <v>50</v>
      </c>
      <c r="E140" t="s">
        <v>576</v>
      </c>
      <c r="F140" s="18" t="s">
        <v>497</v>
      </c>
      <c r="H140" s="18" t="s">
        <v>578</v>
      </c>
      <c r="I140" t="s">
        <v>580</v>
      </c>
      <c r="J140" t="s">
        <v>593</v>
      </c>
    </row>
  </sheetData>
  <pageMargins left="0.511811024" right="0.511811024" top="0.78740157499999996" bottom="0.78740157499999996" header="0.31496062000000002" footer="0.31496062000000002"/>
  <pageSetup paperSize="9" fitToWidth="0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DASHBOARD_GERAL</vt:lpstr>
      <vt:lpstr>BASE_CONSOLIDADA</vt:lpstr>
      <vt:lpstr>4900-LE-7101 (CA)</vt:lpstr>
      <vt:lpstr>4900-LE-7102 (CA)</vt:lpstr>
      <vt:lpstr>4900-LE-7103 (CA)</vt:lpstr>
      <vt:lpstr>4900-LE-7104 (CA)</vt:lpstr>
    </vt:vector>
  </TitlesOfParts>
  <Company>HEMOBRAS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Ronaldo Pedrosa da Silva</dc:creator>
  <cp:lastModifiedBy>Ronaldo Pedrosa da Silva</cp:lastModifiedBy>
  <cp:lastPrinted>2026-02-04T12:10:44Z</cp:lastPrinted>
  <dcterms:created xsi:type="dcterms:W3CDTF">2026-01-14T12:21:53Z</dcterms:created>
  <dcterms:modified xsi:type="dcterms:W3CDTF">2026-02-04T13:02:43Z</dcterms:modified>
</cp:coreProperties>
</file>